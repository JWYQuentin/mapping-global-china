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hina WH List" sheetId="2" state="visible" r:id="rId4"/>
    <sheet name="China Tentative List" sheetId="3" state="visible" r:id="rId5"/>
    <sheet name="Sites Abroad Linked to China" sheetId="4" state="visible" r:id="rId6"/>
    <sheet name="Other UNESCO Records" sheetId="5" state="visible" r:id="rId7"/>
    <sheet name="Docs - Silk Roads 1442" sheetId="6" state="visible" r:id="rId8"/>
    <sheet name="Data Access" sheetId="7" state="visible" r:id="rId9"/>
  </sheets>
  <definedNames>
    <definedName function="false" hidden="true" localSheetId="2" name="_xlnm._FilterDatabase" vbProcedure="false">'China Tentative List'!$A$1:$H$61</definedName>
    <definedName function="false" hidden="true" localSheetId="1" name="_xlnm._FilterDatabase" vbProcedure="false">'China WH List'!$A$1:$R$62</definedName>
    <definedName function="false" hidden="true" localSheetId="6" name="_xlnm._FilterDatabase" vbProcedure="false">'Data Access'!$A$1:$E$11</definedName>
    <definedName function="false" hidden="true" localSheetId="5" name="_xlnm._FilterDatabase" vbProcedure="false">'Docs - Silk Roads 1442'!$A$1:$D$22</definedName>
    <definedName function="false" hidden="true" localSheetId="4" name="_xlnm._FilterDatabase" vbProcedure="false">'Other UNESCO Records'!$A$1:$H$11</definedName>
    <definedName function="false" hidden="true" localSheetId="3" name="_xlnm._FilterDatabase" vbProcedure="false">'Sites Abroad Linked to China'!$A$1:$K$34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<sst xmlns="http://schemas.openxmlformats.org/spreadsheetml/2006/main" count="1129" uniqueCount="825">
  <si>
    <t xml:space="preserve">Mapping Global China - Phase 1a: UNESCO data inventory</t>
  </si>
  <si>
    <t xml:space="preserve">As of 2026-09-30. Built from UNESCO's World Heritage syndication feeds (EN and ZH), UNESCO site, Tentative List and ICH pages.</t>
  </si>
  <si>
    <t xml:space="preserve">Summary</t>
  </si>
  <si>
    <t xml:space="preserve">China World Heritage properties</t>
  </si>
  <si>
    <t xml:space="preserve">  of which Cultural</t>
  </si>
  <si>
    <t xml:space="preserve">  of which Natural</t>
  </si>
  <si>
    <t xml:space="preserve">  of which Mixed</t>
  </si>
  <si>
    <t xml:space="preserve">  of which transnational</t>
  </si>
  <si>
    <t xml:space="preserve">  with an outward link in UNESCO's text</t>
  </si>
  <si>
    <t xml:space="preserve">China Tentative List entries</t>
  </si>
  <si>
    <t xml:space="preserve">  with a Silk Road / maritime link</t>
  </si>
  <si>
    <t xml:space="preserve">World Heritage sites abroad linked to China in UNESCO text</t>
  </si>
  <si>
    <t xml:space="preserve">  excluding geographic-only mentions</t>
  </si>
  <si>
    <t xml:space="preserve">Sheets</t>
  </si>
  <si>
    <t xml:space="preserve">China WH List</t>
  </si>
  <si>
    <t xml:space="preserve">All 61 inscribed properties with Chinese names, coordinates (first component point), transnational flag, and any outward link stated in UNESCO's own description.</t>
  </si>
  <si>
    <t xml:space="preserve">China Tentative List</t>
  </si>
  <si>
    <t xml:space="preserve">All 60 entries. Two put the maritime routes under the Silk Roads name (2008, 2016).</t>
  </si>
  <si>
    <t xml:space="preserve">Sites Abroad Linked to China</t>
  </si>
  <si>
    <t xml:space="preserve">Properties in other countries whose UNESCO text mentions China, Chinese people or the Silk Roads. Link type is my coding and should be reviewed.</t>
  </si>
  <si>
    <t xml:space="preserve">Other UNESCO Records</t>
  </si>
  <si>
    <t xml:space="preserve">Intangible heritage, Memory of the World, Silk Roads programme and centres relevant to the project.</t>
  </si>
  <si>
    <t xml:space="preserve">Docs - Silk Roads 1442</t>
  </si>
  <si>
    <t xml:space="preserve">Full document trail for the one transnational property China is part of.</t>
  </si>
  <si>
    <t xml:space="preserve">Data Access</t>
  </si>
  <si>
    <t xml:space="preserve">What each UNESCO source offers, how to get it, gaps and terms of use.</t>
  </si>
  <si>
    <t xml:space="preserve">Legend</t>
  </si>
  <si>
    <t xml:space="preserve">Yellow columns</t>
  </si>
  <si>
    <t xml:space="preserve">For you to fill in: notes and verification status.</t>
  </si>
  <si>
    <t xml:space="preserve">Coordinates</t>
  </si>
  <si>
    <t xml:space="preserve">First component point from UNESCO's feed; serial sites have several points (see 'Component points').</t>
  </si>
  <si>
    <t xml:space="preserve">Terms of use</t>
  </si>
  <si>
    <t xml:space="preserve">UNESCO: 'Any republication, online or in any other form, of any UNESCO/WHC data requires prior written authorization.' Required credit: Copyright © 1992-2026 UNESCO/World Heritage Centre. All rights reserved. Fine for internal research; ask UNESCO before publishing a map layer built on this data.</t>
  </si>
  <si>
    <t xml:space="preserve">UNESCO ID</t>
  </si>
  <si>
    <t xml:space="preserve">Site name (EN)</t>
  </si>
  <si>
    <t xml:space="preserve">Site name (ZH, UNESCO feed)</t>
  </si>
  <si>
    <t xml:space="preserve">Category</t>
  </si>
  <si>
    <t xml:space="preserve">Criteria</t>
  </si>
  <si>
    <t xml:space="preserve">Year inscribed</t>
  </si>
  <si>
    <t xml:space="preserve">Extensions</t>
  </si>
  <si>
    <t xml:space="preserve">Transnational</t>
  </si>
  <si>
    <t xml:space="preserve">Other States Parties</t>
  </si>
  <si>
    <t xml:space="preserve">Component points</t>
  </si>
  <si>
    <t xml:space="preserve">Latitude</t>
  </si>
  <si>
    <t xml:space="preserve">Longitude</t>
  </si>
  <si>
    <t xml:space="preserve">Outward link in UNESCO text</t>
  </si>
  <si>
    <t xml:space="preserve">UNESCO wording (EN short description)</t>
  </si>
  <si>
    <t xml:space="preserve">Site page</t>
  </si>
  <si>
    <t xml:space="preserve">Documents page</t>
  </si>
  <si>
    <t xml:space="preserve">Your notes</t>
  </si>
  <si>
    <t xml:space="preserve">Verification status</t>
  </si>
  <si>
    <t xml:space="preserve">Mount Taishan</t>
  </si>
  <si>
    <t xml:space="preserve">泰山</t>
  </si>
  <si>
    <t xml:space="preserve">Mixed</t>
  </si>
  <si>
    <t xml:space="preserve">(i)(ii)(iii)(iv)(v)(vi)(vii)</t>
  </si>
  <si>
    <t xml:space="preserve">No</t>
  </si>
  <si>
    <t xml:space="preserve">https://whc.unesco.org/en/list/437/</t>
  </si>
  <si>
    <t xml:space="preserve">https://whc.unesco.org/en/list/437/documents/</t>
  </si>
  <si>
    <t xml:space="preserve">The Great Wall</t>
  </si>
  <si>
    <t xml:space="preserve">长城</t>
  </si>
  <si>
    <t xml:space="preserve">Cultural</t>
  </si>
  <si>
    <t xml:space="preserve">(i)(ii)(iii)(iv)(vi)</t>
  </si>
  <si>
    <t xml:space="preserve">https://whc.unesco.org/en/list/438/</t>
  </si>
  <si>
    <t xml:space="preserve">https://whc.unesco.org/en/list/438/documents/</t>
  </si>
  <si>
    <t xml:space="preserve">Imperial Palaces of the Ming and Qing Dynasties in Beijing and Shenyang</t>
  </si>
  <si>
    <t xml:space="preserve">明清故宫（北京故宫、沈阳故宫）</t>
  </si>
  <si>
    <t xml:space="preserve">(i)(ii)(iii)(iv)</t>
  </si>
  <si>
    <t xml:space="preserve">2004</t>
  </si>
  <si>
    <t xml:space="preserve">https://whc.unesco.org/en/list/439/</t>
  </si>
  <si>
    <t xml:space="preserve">https://whc.unesco.org/en/list/439/documents/</t>
  </si>
  <si>
    <t xml:space="preserve">Mogao Caves</t>
  </si>
  <si>
    <t xml:space="preserve">莫高窟</t>
  </si>
  <si>
    <t xml:space="preserve">(i)(ii)(iii)(iv)(v)(vi)</t>
  </si>
  <si>
    <t xml:space="preserve">Silk Roads</t>
  </si>
  <si>
    <t xml:space="preserve">Situated at a strategic point along the Silk Route, at the crossroads of trade as well as religious, cultural and intellectual influences...</t>
  </si>
  <si>
    <t xml:space="preserve">https://whc.unesco.org/en/list/440/</t>
  </si>
  <si>
    <t xml:space="preserve">https://whc.unesco.org/en/list/440/documents/</t>
  </si>
  <si>
    <t xml:space="preserve">Mausoleum of the First Qin Emperor</t>
  </si>
  <si>
    <t xml:space="preserve">秦始皇陵及兵马俑坑</t>
  </si>
  <si>
    <t xml:space="preserve">(i)(iii)(iv)(vi)</t>
  </si>
  <si>
    <t xml:space="preserve">https://whc.unesco.org/en/list/441/</t>
  </si>
  <si>
    <t xml:space="preserve">https://whc.unesco.org/en/list/441/documents/</t>
  </si>
  <si>
    <t xml:space="preserve">Peking Man Site at Zhoukoudian</t>
  </si>
  <si>
    <t xml:space="preserve">周口店北京人遗址</t>
  </si>
  <si>
    <t xml:space="preserve">(iii)(vi)</t>
  </si>
  <si>
    <t xml:space="preserve">https://whc.unesco.org/en/list/449/</t>
  </si>
  <si>
    <t xml:space="preserve">https://whc.unesco.org/en/list/449/documents/</t>
  </si>
  <si>
    <t xml:space="preserve">Mount Huangshan</t>
  </si>
  <si>
    <t xml:space="preserve">黄山</t>
  </si>
  <si>
    <t xml:space="preserve">(ii)(vii)(x)</t>
  </si>
  <si>
    <t xml:space="preserve">https://whc.unesco.org/en/list/547/</t>
  </si>
  <si>
    <t xml:space="preserve">https://whc.unesco.org/en/list/547/documents/</t>
  </si>
  <si>
    <t xml:space="preserve">Jiuzhaigou Valley Scenic and Historic Interest Area</t>
  </si>
  <si>
    <t xml:space="preserve">九寨沟风景名胜区</t>
  </si>
  <si>
    <t xml:space="preserve">Natural</t>
  </si>
  <si>
    <t xml:space="preserve">(vii)</t>
  </si>
  <si>
    <t xml:space="preserve">https://whc.unesco.org/en/list/637/</t>
  </si>
  <si>
    <t xml:space="preserve">https://whc.unesco.org/en/list/637/documents/</t>
  </si>
  <si>
    <t xml:space="preserve">Huanglong Scenic and Historic Interest Area</t>
  </si>
  <si>
    <t xml:space="preserve">黄龙风景名胜区</t>
  </si>
  <si>
    <t xml:space="preserve">https://whc.unesco.org/en/list/638/</t>
  </si>
  <si>
    <t xml:space="preserve">https://whc.unesco.org/en/list/638/documents/</t>
  </si>
  <si>
    <t xml:space="preserve">Wulingyuan Scenic and Historic Interest Area</t>
  </si>
  <si>
    <t xml:space="preserve">武陵源风景名胜区</t>
  </si>
  <si>
    <t xml:space="preserve">https://whc.unesco.org/en/list/640/</t>
  </si>
  <si>
    <t xml:space="preserve">https://whc.unesco.org/en/list/640/documents/</t>
  </si>
  <si>
    <t xml:space="preserve">Mountain Resort and its Outlying Temples, Chengde</t>
  </si>
  <si>
    <t xml:space="preserve">承德避暑山庄及其周围寺庙</t>
  </si>
  <si>
    <t xml:space="preserve">(ii)(iv)</t>
  </si>
  <si>
    <t xml:space="preserve">https://whc.unesco.org/en/list/703/</t>
  </si>
  <si>
    <t xml:space="preserve">https://whc.unesco.org/en/list/703/documents/</t>
  </si>
  <si>
    <t xml:space="preserve">Temple and Cemetery of Confucius and the Kong Family Mansion in Qufu</t>
  </si>
  <si>
    <t xml:space="preserve">曲阜孔庙、孔林和孔府</t>
  </si>
  <si>
    <t xml:space="preserve">(i)(iv)(vi)</t>
  </si>
  <si>
    <t xml:space="preserve">https://whc.unesco.org/en/list/704/</t>
  </si>
  <si>
    <t xml:space="preserve">https://whc.unesco.org/en/list/704/documents/</t>
  </si>
  <si>
    <t xml:space="preserve">Ancient Building Complex in the Wudang Mountains</t>
  </si>
  <si>
    <t xml:space="preserve">武当山古建筑群</t>
  </si>
  <si>
    <t xml:space="preserve">(i)(ii)(vi)</t>
  </si>
  <si>
    <t xml:space="preserve">https://whc.unesco.org/en/list/705/</t>
  </si>
  <si>
    <t xml:space="preserve">https://whc.unesco.org/en/list/705/documents/</t>
  </si>
  <si>
    <t xml:space="preserve">Historic Ensemble of the Potala Palace, Lhasa</t>
  </si>
  <si>
    <t xml:space="preserve">拉萨布达拉宫历史建筑群</t>
  </si>
  <si>
    <t xml:space="preserve">2000, 2001</t>
  </si>
  <si>
    <t xml:space="preserve">https://whc.unesco.org/en/list/707/</t>
  </si>
  <si>
    <t xml:space="preserve">https://whc.unesco.org/en/list/707/documents/</t>
  </si>
  <si>
    <t xml:space="preserve">Lushan National Park</t>
  </si>
  <si>
    <t xml:space="preserve">庐山国家公园</t>
  </si>
  <si>
    <t xml:space="preserve">(ii)(iii)(iv)(vi)</t>
  </si>
  <si>
    <t xml:space="preserve">https://whc.unesco.org/en/list/778/</t>
  </si>
  <si>
    <t xml:space="preserve">https://whc.unesco.org/en/list/778/documents/</t>
  </si>
  <si>
    <t xml:space="preserve">Mount Emei Scenic Area, including Leshan Giant Buddha Scenic Area</t>
  </si>
  <si>
    <t xml:space="preserve">峨眉山—乐山大佛</t>
  </si>
  <si>
    <t xml:space="preserve">(iv)(vi)(x)</t>
  </si>
  <si>
    <t xml:space="preserve">https://whc.unesco.org/en/list/779/</t>
  </si>
  <si>
    <t xml:space="preserve">https://whc.unesco.org/en/list/779/documents/</t>
  </si>
  <si>
    <t xml:space="preserve">Old Town of Lijiang</t>
  </si>
  <si>
    <t xml:space="preserve">丽江古城</t>
  </si>
  <si>
    <t xml:space="preserve">(ii)(iv)(v)</t>
  </si>
  <si>
    <t xml:space="preserve">https://whc.unesco.org/en/list/811/</t>
  </si>
  <si>
    <t xml:space="preserve">https://whc.unesco.org/en/list/811/documents/</t>
  </si>
  <si>
    <t xml:space="preserve">Ancient City of Ping Yao</t>
  </si>
  <si>
    <t xml:space="preserve">平遥古城</t>
  </si>
  <si>
    <t xml:space="preserve">(ii)(iii)(iv)</t>
  </si>
  <si>
    <t xml:space="preserve">https://whc.unesco.org/en/list/812/</t>
  </si>
  <si>
    <t xml:space="preserve">https://whc.unesco.org/en/list/812/documents/</t>
  </si>
  <si>
    <t xml:space="preserve">Classical Gardens of Suzhou</t>
  </si>
  <si>
    <t xml:space="preserve">苏州古典园林</t>
  </si>
  <si>
    <t xml:space="preserve">(i)(ii)(iii)(iv)(v)</t>
  </si>
  <si>
    <t xml:space="preserve">2000</t>
  </si>
  <si>
    <t xml:space="preserve">https://whc.unesco.org/en/list/813/</t>
  </si>
  <si>
    <t xml:space="preserve">https://whc.unesco.org/en/list/813/documents/</t>
  </si>
  <si>
    <t xml:space="preserve">Summer Palace, an Imperial Garden in Beijing</t>
  </si>
  <si>
    <r>
      <rPr>
        <sz val="10"/>
        <rFont val="Noto Sans CJK SC"/>
        <family val="2"/>
      </rPr>
      <t xml:space="preserve">北京皇家园林</t>
    </r>
    <r>
      <rPr>
        <sz val="10"/>
        <rFont val="Arial"/>
        <family val="0"/>
        <charset val="1"/>
      </rPr>
      <t xml:space="preserve">-</t>
    </r>
    <r>
      <rPr>
        <sz val="10"/>
        <rFont val="Noto Sans CJK SC"/>
        <family val="2"/>
      </rPr>
      <t xml:space="preserve">颐和园</t>
    </r>
  </si>
  <si>
    <t xml:space="preserve">(i)(ii)(iii)</t>
  </si>
  <si>
    <t xml:space="preserve">https://whc.unesco.org/en/list/880/</t>
  </si>
  <si>
    <t xml:space="preserve">https://whc.unesco.org/en/list/880/documents/</t>
  </si>
  <si>
    <t xml:space="preserve">Temple of Heaven: an Imperial Sacrificial Altar in Beijing</t>
  </si>
  <si>
    <t xml:space="preserve">北京皇家祭坛—天坛</t>
  </si>
  <si>
    <t xml:space="preserve">https://whc.unesco.org/en/list/881/</t>
  </si>
  <si>
    <t xml:space="preserve">https://whc.unesco.org/en/list/881/documents/</t>
  </si>
  <si>
    <t xml:space="preserve">Mount Wuyi</t>
  </si>
  <si>
    <t xml:space="preserve">武夷山</t>
  </si>
  <si>
    <t xml:space="preserve">(iii)(vi)(vii)(x)</t>
  </si>
  <si>
    <t xml:space="preserve">https://whc.unesco.org/en/list/911/</t>
  </si>
  <si>
    <t xml:space="preserve">https://whc.unesco.org/en/list/911/documents/</t>
  </si>
  <si>
    <t xml:space="preserve">Dazu Rock Carvings</t>
  </si>
  <si>
    <t xml:space="preserve">大足石刻</t>
  </si>
  <si>
    <t xml:space="preserve">https://whc.unesco.org/en/list/912/</t>
  </si>
  <si>
    <t xml:space="preserve">https://whc.unesco.org/en/list/912/documents/</t>
  </si>
  <si>
    <t xml:space="preserve">Mount Qingcheng and the Dujiangyan Irrigation System</t>
  </si>
  <si>
    <t xml:space="preserve">青城山—都江堰</t>
  </si>
  <si>
    <t xml:space="preserve">(ii)(iv)(vi)</t>
  </si>
  <si>
    <t xml:space="preserve">https://whc.unesco.org/en/list/1001/</t>
  </si>
  <si>
    <t xml:space="preserve">https://whc.unesco.org/en/list/1001/documents/</t>
  </si>
  <si>
    <t xml:space="preserve">Ancient Villages in Southern Anhui – Xidi and Hongcun</t>
  </si>
  <si>
    <r>
      <rPr>
        <sz val="10"/>
        <rFont val="Noto Sans CJK SC"/>
        <family val="2"/>
      </rPr>
      <t xml:space="preserve">皖南古村落－西递、宏村（</t>
    </r>
    <r>
      <rPr>
        <sz val="10"/>
        <rFont val="Arial"/>
        <family val="0"/>
        <charset val="1"/>
      </rPr>
      <t xml:space="preserve">2000</t>
    </r>
    <r>
      <rPr>
        <sz val="10"/>
        <rFont val="Noto Sans CJK SC"/>
        <family val="2"/>
      </rPr>
      <t xml:space="preserve">年）</t>
    </r>
  </si>
  <si>
    <t xml:space="preserve">(iii)(iv)(v)</t>
  </si>
  <si>
    <t xml:space="preserve">https://whc.unesco.org/en/list/1002/</t>
  </si>
  <si>
    <t xml:space="preserve">https://whc.unesco.org/en/list/1002/documents/</t>
  </si>
  <si>
    <t xml:space="preserve">Longmen Grottoes</t>
  </si>
  <si>
    <t xml:space="preserve">龙门石窟</t>
  </si>
  <si>
    <t xml:space="preserve">https://whc.unesco.org/en/list/1003/</t>
  </si>
  <si>
    <t xml:space="preserve">https://whc.unesco.org/en/list/1003/documents/</t>
  </si>
  <si>
    <t xml:space="preserve">Imperial Tombs of the Ming and Qing Dynasties</t>
  </si>
  <si>
    <t xml:space="preserve">明清皇家陵寝</t>
  </si>
  <si>
    <t xml:space="preserve">2003, 2004</t>
  </si>
  <si>
    <t xml:space="preserve">https://whc.unesco.org/en/list/1004/</t>
  </si>
  <si>
    <t xml:space="preserve">https://whc.unesco.org/en/list/1004/documents/</t>
  </si>
  <si>
    <t xml:space="preserve">Yungang Grottoes</t>
  </si>
  <si>
    <t xml:space="preserve">云岗石窟</t>
  </si>
  <si>
    <t xml:space="preserve">https://whc.unesco.org/en/list/1039/</t>
  </si>
  <si>
    <t xml:space="preserve">https://whc.unesco.org/en/list/1039/documents/</t>
  </si>
  <si>
    <t xml:space="preserve">Three Parallel Rivers of Yunnan Protected Areas</t>
  </si>
  <si>
    <t xml:space="preserve">云南三江并流保护区</t>
  </si>
  <si>
    <t xml:space="preserve">(vii)(viii)(ix)(x)</t>
  </si>
  <si>
    <t xml:space="preserve">https://whc.unesco.org/en/list/1083/</t>
  </si>
  <si>
    <t xml:space="preserve">https://whc.unesco.org/en/list/1083/documents/</t>
  </si>
  <si>
    <t xml:space="preserve">Capital Cities and Tombs of the Ancient Koguryo Kingdom</t>
  </si>
  <si>
    <t xml:space="preserve">高句丽王城、王陵及贵族墓葬</t>
  </si>
  <si>
    <t xml:space="preserve">https://whc.unesco.org/en/list/1135/</t>
  </si>
  <si>
    <t xml:space="preserve">https://whc.unesco.org/en/list/1135/documents/</t>
  </si>
  <si>
    <t xml:space="preserve">Historic Centre of Macao</t>
  </si>
  <si>
    <t xml:space="preserve">澳门历史城区</t>
  </si>
  <si>
    <t xml:space="preserve">International trade / East-West encounter</t>
  </si>
  <si>
    <t xml:space="preserve">It bears witness to one of the earliest and longest-lasting encounters between China and the West, based on the vibrancy of international trade.</t>
  </si>
  <si>
    <t xml:space="preserve">https://whc.unesco.org/en/list/1110/</t>
  </si>
  <si>
    <t xml:space="preserve">https://whc.unesco.org/en/list/1110/documents/</t>
  </si>
  <si>
    <t xml:space="preserve">Yin Xu</t>
  </si>
  <si>
    <t xml:space="preserve">殷墟</t>
  </si>
  <si>
    <t xml:space="preserve">https://whc.unesco.org/en/list/1114/</t>
  </si>
  <si>
    <t xml:space="preserve">https://whc.unesco.org/en/list/1114/documents/</t>
  </si>
  <si>
    <t xml:space="preserve">Sichuan Giant Panda Sanctuaries - Wolong, Mt Siguniang and Jiajin Mountains</t>
  </si>
  <si>
    <t xml:space="preserve">四川大熊猫栖息地</t>
  </si>
  <si>
    <t xml:space="preserve">(x)</t>
  </si>
  <si>
    <t xml:space="preserve">https://whc.unesco.org/en/list/1213/</t>
  </si>
  <si>
    <t xml:space="preserve">https://whc.unesco.org/en/list/1213/documents/</t>
  </si>
  <si>
    <t xml:space="preserve">Kaiping Diaolou and Villages</t>
  </si>
  <si>
    <t xml:space="preserve">开平碉楼与村落</t>
  </si>
  <si>
    <t xml:space="preserve">Overseas Chinese / emigration</t>
  </si>
  <si>
    <t xml:space="preserve">They reflect the significant role of émigré Kaiping people in the development of several countries in South Asia, Australasia and North America, during the late 19th and early 20th centuries.</t>
  </si>
  <si>
    <t xml:space="preserve">https://whc.unesco.org/en/list/1112/</t>
  </si>
  <si>
    <t xml:space="preserve">https://whc.unesco.org/en/list/1112/documents/</t>
  </si>
  <si>
    <t xml:space="preserve">South China Karst</t>
  </si>
  <si>
    <t xml:space="preserve">中国南方喀斯特</t>
  </si>
  <si>
    <t xml:space="preserve">(vii)(viii)</t>
  </si>
  <si>
    <t xml:space="preserve">2014</t>
  </si>
  <si>
    <t xml:space="preserve">https://whc.unesco.org/en/list/1248/</t>
  </si>
  <si>
    <t xml:space="preserve">https://whc.unesco.org/en/list/1248/documents/</t>
  </si>
  <si>
    <t xml:space="preserve">Fujian Tulou</t>
  </si>
  <si>
    <t xml:space="preserve">福建土楼</t>
  </si>
  <si>
    <t xml:space="preserve">https://whc.unesco.org/en/list/1113/</t>
  </si>
  <si>
    <t xml:space="preserve">https://whc.unesco.org/en/list/1113/documents/</t>
  </si>
  <si>
    <t xml:space="preserve">Mount Sanqingshan National Park</t>
  </si>
  <si>
    <t xml:space="preserve">三清山国家公园</t>
  </si>
  <si>
    <t xml:space="preserve">https://whc.unesco.org/en/list/1292/</t>
  </si>
  <si>
    <t xml:space="preserve">https://whc.unesco.org/en/list/1292/documents/</t>
  </si>
  <si>
    <t xml:space="preserve">Mount Wutai</t>
  </si>
  <si>
    <t xml:space="preserve">五台山</t>
  </si>
  <si>
    <t xml:space="preserve">https://whc.unesco.org/en/list/1279/</t>
  </si>
  <si>
    <t xml:space="preserve">https://whc.unesco.org/en/list/1279/documents/</t>
  </si>
  <si>
    <t xml:space="preserve">Historic Monuments of Dengfeng in “The Centre of Heaven and Earth”</t>
  </si>
  <si>
    <t xml:space="preserve">登封 “天地之中”历史古迹</t>
  </si>
  <si>
    <t xml:space="preserve">https://whc.unesco.org/en/list/1305/</t>
  </si>
  <si>
    <t xml:space="preserve">https://whc.unesco.org/en/list/1305/documents/</t>
  </si>
  <si>
    <t xml:space="preserve">China Danxia</t>
  </si>
  <si>
    <t xml:space="preserve">中国丹霞</t>
  </si>
  <si>
    <t xml:space="preserve">https://whc.unesco.org/en/list/1335/</t>
  </si>
  <si>
    <t xml:space="preserve">https://whc.unesco.org/en/list/1335/documents/</t>
  </si>
  <si>
    <t xml:space="preserve">West Lake Cultural Landscape of Hangzhou</t>
  </si>
  <si>
    <t xml:space="preserve">杭州西湖文化景观</t>
  </si>
  <si>
    <t xml:space="preserve">(ii)(iii)(vi)</t>
  </si>
  <si>
    <t xml:space="preserve">https://whc.unesco.org/en/list/1334/</t>
  </si>
  <si>
    <t xml:space="preserve">https://whc.unesco.org/en/list/1334/documents/</t>
  </si>
  <si>
    <t xml:space="preserve">Chengjiang Fossil Site</t>
  </si>
  <si>
    <t xml:space="preserve">澄江化石遗址</t>
  </si>
  <si>
    <t xml:space="preserve">(viii)</t>
  </si>
  <si>
    <t xml:space="preserve">https://whc.unesco.org/en/list/1388/</t>
  </si>
  <si>
    <t xml:space="preserve">https://whc.unesco.org/en/list/1388/documents/</t>
  </si>
  <si>
    <t xml:space="preserve">Site of Xanadu</t>
  </si>
  <si>
    <t xml:space="preserve">元上都遗址</t>
  </si>
  <si>
    <t xml:space="preserve">Cross-cultural (Mongol-Han)</t>
  </si>
  <si>
    <t xml:space="preserve">...the site was a unique attempt to assimilate the nomadic Mongolian and Han Chinese cultures.</t>
  </si>
  <si>
    <t xml:space="preserve">https://whc.unesco.org/en/list/1389/</t>
  </si>
  <si>
    <t xml:space="preserve">https://whc.unesco.org/en/list/1389/documents/</t>
  </si>
  <si>
    <t xml:space="preserve">Cultural Landscape of Honghe Hani Rice Terraces</t>
  </si>
  <si>
    <t xml:space="preserve">(iii)(v)</t>
  </si>
  <si>
    <t xml:space="preserve">https://whc.unesco.org/en/list/1111/</t>
  </si>
  <si>
    <t xml:space="preserve">https://whc.unesco.org/en/list/1111/documents/</t>
  </si>
  <si>
    <t xml:space="preserve">Xinjiang Tianshan</t>
  </si>
  <si>
    <t xml:space="preserve">(vii)(ix)</t>
  </si>
  <si>
    <t xml:space="preserve">https://whc.unesco.org/en/list/1414/</t>
  </si>
  <si>
    <t xml:space="preserve">https://whc.unesco.org/en/list/1414/documents/</t>
  </si>
  <si>
    <t xml:space="preserve">Silk Roads: the Routes Network of Chang'an-Tianshan Corridor</t>
  </si>
  <si>
    <t xml:space="preserve">(ii)(iii)(v)(vi)</t>
  </si>
  <si>
    <t xml:space="preserve">Yes</t>
  </si>
  <si>
    <t xml:space="preserve">Kazakhstan, Kyrgyzstan</t>
  </si>
  <si>
    <t xml:space="preserve">This property is a 5,000 km section of the extensive Silk Roads network, stretching from Chang'an/Luoyang, the central capital of China in the Han and Tang dynasties, to the Zhetysu region of Central Asia.</t>
  </si>
  <si>
    <t xml:space="preserve">https://whc.unesco.org/en/list/1442/</t>
  </si>
  <si>
    <t xml:space="preserve">https://whc.unesco.org/en/list/1442/documents/</t>
  </si>
  <si>
    <t xml:space="preserve">The Grand Canal</t>
  </si>
  <si>
    <t xml:space="preserve">https://whc.unesco.org/en/list/1443/</t>
  </si>
  <si>
    <t xml:space="preserve">https://whc.unesco.org/en/list/1443/documents/</t>
  </si>
  <si>
    <t xml:space="preserve">Tusi Sites</t>
  </si>
  <si>
    <t xml:space="preserve">土司遗址</t>
  </si>
  <si>
    <t xml:space="preserve">(ii)(iii)</t>
  </si>
  <si>
    <t xml:space="preserve">https://whc.unesco.org/en/list/1474/</t>
  </si>
  <si>
    <t xml:space="preserve">https://whc.unesco.org/en/list/1474/documents/</t>
  </si>
  <si>
    <t xml:space="preserve">Zuojiang Huashan Rock Art Cultural Landscape</t>
  </si>
  <si>
    <t xml:space="preserve">左江花山岩画文化景观</t>
  </si>
  <si>
    <t xml:space="preserve">https://whc.unesco.org/en/list/1508/</t>
  </si>
  <si>
    <t xml:space="preserve">https://whc.unesco.org/en/list/1508/documents/</t>
  </si>
  <si>
    <t xml:space="preserve">Hubei Shennongjia</t>
  </si>
  <si>
    <t xml:space="preserve">湖北神农架</t>
  </si>
  <si>
    <t xml:space="preserve">(ix)(x)</t>
  </si>
  <si>
    <t xml:space="preserve">https://whc.unesco.org/en/list/1509/</t>
  </si>
  <si>
    <t xml:space="preserve">https://whc.unesco.org/en/list/1509/documents/</t>
  </si>
  <si>
    <t xml:space="preserve">Qinghai Hoh Xil</t>
  </si>
  <si>
    <t xml:space="preserve">(vii)(x)</t>
  </si>
  <si>
    <t xml:space="preserve">https://whc.unesco.org/en/list/1540/</t>
  </si>
  <si>
    <t xml:space="preserve">https://whc.unesco.org/en/list/1540/documents/</t>
  </si>
  <si>
    <t xml:space="preserve">Kulangsu, a Historic International Settlement</t>
  </si>
  <si>
    <t xml:space="preserve">Sino-foreign exchange</t>
  </si>
  <si>
    <t xml:space="preserve">...this island off the southern coast of the Chinese empire suddenly became an important window for Sino-foreign exchanges.</t>
  </si>
  <si>
    <t xml:space="preserve">https://whc.unesco.org/en/list/1541/</t>
  </si>
  <si>
    <t xml:space="preserve">https://whc.unesco.org/en/list/1541/documents/</t>
  </si>
  <si>
    <t xml:space="preserve">Fanjingshan</t>
  </si>
  <si>
    <t xml:space="preserve">梵净山</t>
  </si>
  <si>
    <t xml:space="preserve">https://whc.unesco.org/en/list/1559/</t>
  </si>
  <si>
    <t xml:space="preserve">https://whc.unesco.org/en/list/1559/documents/</t>
  </si>
  <si>
    <t xml:space="preserve">Archaeological Ruins of Liangzhu City</t>
  </si>
  <si>
    <t xml:space="preserve">良渚古城遗址</t>
  </si>
  <si>
    <t xml:space="preserve">(iii)(iv)</t>
  </si>
  <si>
    <t xml:space="preserve">https://whc.unesco.org/en/list/1592/</t>
  </si>
  <si>
    <t xml:space="preserve">https://whc.unesco.org/en/list/1592/documents/</t>
  </si>
  <si>
    <t xml:space="preserve">Migratory Bird Sanctuaries along the Coast of Yellow Sea-Bohai Gulf of China</t>
  </si>
  <si>
    <t xml:space="preserve">中国黄（渤）海候鸟栖息地</t>
  </si>
  <si>
    <t xml:space="preserve">2024</t>
  </si>
  <si>
    <t xml:space="preserve">https://whc.unesco.org/en/list/1606/</t>
  </si>
  <si>
    <t xml:space="preserve">https://whc.unesco.org/en/list/1606/documents/</t>
  </si>
  <si>
    <t xml:space="preserve">Quanzhou: Emporium of the World in Song-Yuan China</t>
  </si>
  <si>
    <t xml:space="preserve">泉州：宋元中国的世界海洋商贸中心</t>
  </si>
  <si>
    <t xml:space="preserve">(iv)</t>
  </si>
  <si>
    <t xml:space="preserve">Maritime trade</t>
  </si>
  <si>
    <t xml:space="preserve">The serial site of Quanzhou illustrates the city's vibrancy as a maritime emporium during the Song and Yuan periods (10th - 14th centuries AD) and its interconnection with the Chinese hinterland.</t>
  </si>
  <si>
    <t xml:space="preserve">https://whc.unesco.org/en/list/1561/</t>
  </si>
  <si>
    <t xml:space="preserve">https://whc.unesco.org/en/list/1561/documents/</t>
  </si>
  <si>
    <t xml:space="preserve">Cultural Landscape of Old Tea Forests of the Jingmai Mountain in Pu’er</t>
  </si>
  <si>
    <t xml:space="preserve">普洱景迈山古茶林文化景观</t>
  </si>
  <si>
    <t xml:space="preserve">https://whc.unesco.org/en/list/1665/</t>
  </si>
  <si>
    <t xml:space="preserve">https://whc.unesco.org/en/list/1665/documents/</t>
  </si>
  <si>
    <t xml:space="preserve">Badain Jaran Desert - Towers of Sand and Lakes</t>
  </si>
  <si>
    <t xml:space="preserve">巴丹吉林沙漠——沙山湖泊群</t>
  </si>
  <si>
    <t xml:space="preserve">https://whc.unesco.org/en/list/1638/</t>
  </si>
  <si>
    <t xml:space="preserve">https://whc.unesco.org/en/list/1638/documents/</t>
  </si>
  <si>
    <t xml:space="preserve">Beijing Central Axis: A Building Ensemble Exhibiting the Ideal Order of the Chinese Capital</t>
  </si>
  <si>
    <t xml:space="preserve">北京中轴线：中国理想都城秩序的杰作</t>
  </si>
  <si>
    <t xml:space="preserve">https://whc.unesco.org/en/list/1714/</t>
  </si>
  <si>
    <t xml:space="preserve">https://whc.unesco.org/en/list/1714/documents/</t>
  </si>
  <si>
    <t xml:space="preserve">Xixia Imperial Tombs</t>
  </si>
  <si>
    <t xml:space="preserve">西夏陵</t>
  </si>
  <si>
    <t xml:space="preserve">Positioned along the Silk Road, it became a multicultural civilization modelled on Chinese imperial traditions, with Buddhism at its core.</t>
  </si>
  <si>
    <t xml:space="preserve">https://whc.unesco.org/en/list/1736/</t>
  </si>
  <si>
    <t xml:space="preserve">https://whc.unesco.org/en/list/1736/documents/</t>
  </si>
  <si>
    <t xml:space="preserve">Jingdezhen Handicraft Porcelain Industry Sites</t>
  </si>
  <si>
    <t xml:space="preserve">景德镇手工瓷业遗存</t>
  </si>
  <si>
    <t xml:space="preserve">Global trade (porcelain)</t>
  </si>
  <si>
    <t xml:space="preserve">...the production of handicraft porcelain from the 10th to 19th centuries that had profound industrial, artistic and trading influences in China and beyond globally.</t>
  </si>
  <si>
    <t xml:space="preserve">https://whc.unesco.org/en/list/1765/</t>
  </si>
  <si>
    <t xml:space="preserve">https://whc.unesco.org/en/list/1765/documents/</t>
  </si>
  <si>
    <t xml:space="preserve">UNESCO TL ID</t>
  </si>
  <si>
    <t xml:space="preserve">Name (as submitted)</t>
  </si>
  <si>
    <t xml:space="preserve">Year submitted</t>
  </si>
  <si>
    <t xml:space="preserve">Silk Road / maritime link</t>
  </si>
  <si>
    <t xml:space="preserve">Notes</t>
  </si>
  <si>
    <t xml:space="preserve">UNESCO page</t>
  </si>
  <si>
    <t xml:space="preserve">Dongzhai Port Nature Reserve</t>
  </si>
  <si>
    <t xml:space="preserve">https://whc.unesco.org/en/tentativelists/105/</t>
  </si>
  <si>
    <t xml:space="preserve">The Alligator Sinensis Nature Reserve</t>
  </si>
  <si>
    <t xml:space="preserve">https://whc.unesco.org/en/tentativelists/106/</t>
  </si>
  <si>
    <t xml:space="preserve">Poyang Nature Reserve</t>
  </si>
  <si>
    <t xml:space="preserve">https://whc.unesco.org/en/tentativelists/107/</t>
  </si>
  <si>
    <t xml:space="preserve">The Lijiang River Scenic Zone at Guilin</t>
  </si>
  <si>
    <t xml:space="preserve">https://whc.unesco.org/en/tentativelists/108/</t>
  </si>
  <si>
    <t xml:space="preserve">Yalong, Tibet</t>
  </si>
  <si>
    <t xml:space="preserve">https://whc.unesco.org/en/tentativelists/1622/</t>
  </si>
  <si>
    <t xml:space="preserve">Yangtze Gorges Scenic Spot</t>
  </si>
  <si>
    <t xml:space="preserve">https://whc.unesco.org/en/tentativelists/1623/</t>
  </si>
  <si>
    <t xml:space="preserve">Jinfushan Scenic Spot</t>
  </si>
  <si>
    <t xml:space="preserve">https://whc.unesco.org/en/tentativelists/1624/</t>
  </si>
  <si>
    <t xml:space="preserve">Heaven Pit and Ground Seam Scenic Spot</t>
  </si>
  <si>
    <t xml:space="preserve">https://whc.unesco.org/en/tentativelists/1625/</t>
  </si>
  <si>
    <t xml:space="preserve">Hua Shan Scenic Area</t>
  </si>
  <si>
    <t xml:space="preserve">https://whc.unesco.org/en/tentativelists/1626/</t>
  </si>
  <si>
    <t xml:space="preserve">Yandang Mountain</t>
  </si>
  <si>
    <t xml:space="preserve">https://whc.unesco.org/en/tentativelists/1627/</t>
  </si>
  <si>
    <t xml:space="preserve">Nanxi River</t>
  </si>
  <si>
    <t xml:space="preserve">https://whc.unesco.org/en/tentativelists/1629/</t>
  </si>
  <si>
    <t xml:space="preserve">Maijishan Scenic Spots</t>
  </si>
  <si>
    <t xml:space="preserve">https://whc.unesco.org/en/tentativelists/1631/</t>
  </si>
  <si>
    <t xml:space="preserve">Wudalianchi Scenic Spots</t>
  </si>
  <si>
    <t xml:space="preserve">https://whc.unesco.org/en/tentativelists/1632/</t>
  </si>
  <si>
    <t xml:space="preserve">Haitan Scenic Spots</t>
  </si>
  <si>
    <t xml:space="preserve">https://whc.unesco.org/en/tentativelists/1633/</t>
  </si>
  <si>
    <t xml:space="preserve">Dali Chanshan Mountain and Erhai Lake Scenic Spot</t>
  </si>
  <si>
    <t xml:space="preserve">https://whc.unesco.org/en/tentativelists/1634/</t>
  </si>
  <si>
    <t xml:space="preserve">Sites for Liquor Making in China</t>
  </si>
  <si>
    <t xml:space="preserve">https://whc.unesco.org/en/tentativelists/5320/</t>
  </si>
  <si>
    <t xml:space="preserve">Ancient Residences in Shanxi and Shaanxi Provinces</t>
  </si>
  <si>
    <t xml:space="preserve">https://whc.unesco.org/en/tentativelists/5322/</t>
  </si>
  <si>
    <t xml:space="preserve">City Walls of the Ming and Qing Dynasties</t>
  </si>
  <si>
    <t xml:space="preserve">https://whc.unesco.org/en/tentativelists/5324/</t>
  </si>
  <si>
    <t xml:space="preserve">Slender West Lake and Historic Urban Area in Yangzhou</t>
  </si>
  <si>
    <t xml:space="preserve">https://whc.unesco.org/en/tentativelists/5327/</t>
  </si>
  <si>
    <t xml:space="preserve">The Ancient Waterfront Towns in the South of Yangtze River</t>
  </si>
  <si>
    <t xml:space="preserve">https://whc.unesco.org/en/tentativelists/5328/</t>
  </si>
  <si>
    <t xml:space="preserve">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t>
  </si>
  <si>
    <t xml:space="preserve">Silk Roads + Maritime</t>
  </si>
  <si>
    <t xml:space="preserve">2008 entry: land routes in six provinces plus sea routes at Ningbo and Quanzhou. Earliest TL entry to put the sea routes under the Silk Road name.</t>
  </si>
  <si>
    <t xml:space="preserve">https://whc.unesco.org/en/tentativelists/5335/</t>
  </si>
  <si>
    <t xml:space="preserve">Fenghuang Ancient City</t>
  </si>
  <si>
    <t xml:space="preserve">https://whc.unesco.org/en/tentativelists/5337/</t>
  </si>
  <si>
    <t xml:space="preserve">Site of Southern Yue State</t>
  </si>
  <si>
    <t xml:space="preserve">https://whc.unesco.org/en/tentativelists/5338/</t>
  </si>
  <si>
    <t xml:space="preserve">Baiheliang Ancient Hydrological Inscription</t>
  </si>
  <si>
    <t xml:space="preserve">https://whc.unesco.org/en/tentativelists/5341/</t>
  </si>
  <si>
    <t xml:space="preserve">Miao Nationality Villages in Southeast Guizhou Province: The villages of Miao Nationality at the Foot of Leigong Mountain in Miao Ling Mountains</t>
  </si>
  <si>
    <t xml:space="preserve">https://whc.unesco.org/en/tentativelists/5344/</t>
  </si>
  <si>
    <t xml:space="preserve">Karez Wells</t>
  </si>
  <si>
    <t xml:space="preserve">https://whc.unesco.org/en/tentativelists/5347/</t>
  </si>
  <si>
    <t xml:space="preserve">Expansion Project of Imperial Tombs of the Ming and Qing Dynasties: King Lujian's Tombs</t>
  </si>
  <si>
    <t xml:space="preserve">https://whc.unesco.org/en/tentativelists/5351/</t>
  </si>
  <si>
    <t xml:space="preserve">The Four Sacred Mountains as an Extension of Mt. Taishan</t>
  </si>
  <si>
    <t xml:space="preserve">https://whc.unesco.org/en/tentativelists/5353/</t>
  </si>
  <si>
    <t xml:space="preserve">Taklimakan Desert—Populus euphratica Forests</t>
  </si>
  <si>
    <t xml:space="preserve">https://whc.unesco.org/en/tentativelists/5532/</t>
  </si>
  <si>
    <t xml:space="preserve">China Altay</t>
  </si>
  <si>
    <t xml:space="preserve">https://whc.unesco.org/en/tentativelists/5533/</t>
  </si>
  <si>
    <t xml:space="preserve">Karakorum-Pamir</t>
  </si>
  <si>
    <t xml:space="preserve">https://whc.unesco.org/en/tentativelists/5535/</t>
  </si>
  <si>
    <t xml:space="preserve">Wooden Structures of Liao Dynasty—Wooden Pagoda of Yingxian County, Main Hall of Fengguo Monastery of Yixian County</t>
  </si>
  <si>
    <t xml:space="preserve">https://whc.unesco.org/en/tentativelists/5803/</t>
  </si>
  <si>
    <t xml:space="preserve">Sites of Hongshan Culture: The Niuheliang Archaeological Site, the Hongshanhou Archaeological Site, and Weijiawopu Archaeological Site</t>
  </si>
  <si>
    <t xml:space="preserve">https://whc.unesco.org/en/tentativelists/5804/</t>
  </si>
  <si>
    <t xml:space="preserve">Ancient Porcelain Kiln Site in China</t>
  </si>
  <si>
    <t xml:space="preserve">https://whc.unesco.org/en/tentativelists/5806/</t>
  </si>
  <si>
    <t xml:space="preserve">SanFangQiXiang</t>
  </si>
  <si>
    <t xml:space="preserve">https://whc.unesco.org/en/tentativelists/5808/</t>
  </si>
  <si>
    <t xml:space="preserve">Dong Villages</t>
  </si>
  <si>
    <t xml:space="preserve">https://whc.unesco.org/en/tentativelists/5813/</t>
  </si>
  <si>
    <t xml:space="preserve">Lingqu Canal</t>
  </si>
  <si>
    <t xml:space="preserve">https://whc.unesco.org/en/tentativelists/5814/</t>
  </si>
  <si>
    <t xml:space="preserve">Diaolou Buildings and Villages for Tibetan and Qiang Ethnic Groups</t>
  </si>
  <si>
    <t xml:space="preserve">https://whc.unesco.org/en/tentativelists/5815/</t>
  </si>
  <si>
    <t xml:space="preserve">Archaeological Sites of the Ancient Shu State: Site at Jinsha and Joint Tombs of Boat-shaped Coffins in Chengdu City, Sichuan Province; Site of Sanxingdui in Guanghan City, Sichuan Province 29C.BC-5C.BC</t>
  </si>
  <si>
    <t xml:space="preserve">https://whc.unesco.org/en/tentativelists/5816/</t>
  </si>
  <si>
    <t xml:space="preserve">Xinjiang Yardang</t>
  </si>
  <si>
    <t xml:space="preserve">https://whc.unesco.org/en/tentativelists/5989/</t>
  </si>
  <si>
    <t xml:space="preserve">Dunhuang Yardangs</t>
  </si>
  <si>
    <t xml:space="preserve">https://whc.unesco.org/en/tentativelists/5990/</t>
  </si>
  <si>
    <t xml:space="preserve">Tianzhushan</t>
  </si>
  <si>
    <t xml:space="preserve">https://whc.unesco.org/en/tentativelists/5992/</t>
  </si>
  <si>
    <t xml:space="preserve">Jinggangshan--North Wuyishan (Extension of Mount Wuyi)</t>
  </si>
  <si>
    <t xml:space="preserve">https://whc.unesco.org/en/tentativelists/5993/</t>
  </si>
  <si>
    <t xml:space="preserve">ShuDao</t>
  </si>
  <si>
    <t xml:space="preserve">https://whc.unesco.org/en/tentativelists/5994/</t>
  </si>
  <si>
    <t xml:space="preserve">Tulin-Guge Scenic and Historic Interest Areas</t>
  </si>
  <si>
    <t xml:space="preserve">https://whc.unesco.org/en/tentativelists/5995/</t>
  </si>
  <si>
    <t xml:space="preserve">The Chinese Section of the Silk Roads</t>
  </si>
  <si>
    <t xml:space="preserve">Submitted 22/02/2016 by China's National Commission for UNESCO; criteria (i)-(vi). Serial, China only: 32 land-route sites (6 provinces) + 31 sea-route sites (Fujian, Zhejiang, Guangdong, Jiangsu). No partner countries named. Describes routes 'connecting Asia. Africa and Europe'.</t>
  </si>
  <si>
    <t xml:space="preserve">https://whc.unesco.org/en/tentativelists/6093/</t>
  </si>
  <si>
    <t xml:space="preserve">Guancen Mountain -- Luya Mountain</t>
  </si>
  <si>
    <t xml:space="preserve">https://whc.unesco.org/en/tentativelists/6184/</t>
  </si>
  <si>
    <t xml:space="preserve">Hulun Buir Landscape &amp; Birthplace of Ancient Minority</t>
  </si>
  <si>
    <t xml:space="preserve">https://whc.unesco.org/en/tentativelists/6185/</t>
  </si>
  <si>
    <t xml:space="preserve">Qinghai Lake</t>
  </si>
  <si>
    <t xml:space="preserve">https://whc.unesco.org/en/tentativelists/6186/</t>
  </si>
  <si>
    <t xml:space="preserve">Scenic and historic area of Sacred Mountains and Lakes</t>
  </si>
  <si>
    <t xml:space="preserve">https://whc.unesco.org/en/tentativelists/6187/</t>
  </si>
  <si>
    <t xml:space="preserve">Taihang Mountain</t>
  </si>
  <si>
    <t xml:space="preserve">https://whc.unesco.org/en/tentativelists/6188/</t>
  </si>
  <si>
    <t xml:space="preserve">Vertical Vegetation Landscape and Volcanic Landscape in Changbai Mountain</t>
  </si>
  <si>
    <t xml:space="preserve">https://whc.unesco.org/en/tentativelists/6190/</t>
  </si>
  <si>
    <t xml:space="preserve">Huangguoshu Scenic Area</t>
  </si>
  <si>
    <t xml:space="preserve">https://whc.unesco.org/en/tentativelists/6380/</t>
  </si>
  <si>
    <t xml:space="preserve">Guizhou Triassic Fossil Sites</t>
  </si>
  <si>
    <t xml:space="preserve">https://whc.unesco.org/en/tentativelists/6381/</t>
  </si>
  <si>
    <t xml:space="preserve">Hainan Tropical Rainforest and the Traditional Settlement of Li Ethnic Group</t>
  </si>
  <si>
    <t xml:space="preserve">https://whc.unesco.org/en/tentativelists/6582/</t>
  </si>
  <si>
    <t xml:space="preserve">Fujian Minjiang River Estuary: The ecotone between marine and terrestrial biogeographical regions</t>
  </si>
  <si>
    <t xml:space="preserve">https://whc.unesco.org/en/tentativelists/6619/</t>
  </si>
  <si>
    <t xml:space="preserve">Hezheng Mammalian Fossil Sites of Gansu</t>
  </si>
  <si>
    <t xml:space="preserve">https://whc.unesco.org/en/tentativelists/6768/</t>
  </si>
  <si>
    <t xml:space="preserve">Guizhou Shuanghe Cave</t>
  </si>
  <si>
    <t xml:space="preserve">https://whc.unesco.org/en/tentativelists/6840/</t>
  </si>
  <si>
    <t xml:space="preserve">Zhangye Colorful Hills</t>
  </si>
  <si>
    <t xml:space="preserve">https://whc.unesco.org/en/tentativelists/6841/</t>
  </si>
  <si>
    <t xml:space="preserve">Jehol Biota Fossil Sites in Chaoyang</t>
  </si>
  <si>
    <t xml:space="preserve">https://whc.unesco.org/en/tentativelists/7021/</t>
  </si>
  <si>
    <t xml:space="preserve">States Parties</t>
  </si>
  <si>
    <t xml:space="preserve">Where UNESCO mentions it</t>
  </si>
  <si>
    <t xml:space="preserve">Link type (my coding)</t>
  </si>
  <si>
    <t xml:space="preserve">UNESCO wording (verbatim excerpt)</t>
  </si>
  <si>
    <t xml:space="preserve">Melaka and George Town, Historic Cities of the Straits of Malacca</t>
  </si>
  <si>
    <t xml:space="preserve">Malaysia</t>
  </si>
  <si>
    <t xml:space="preserve">Full OUV statement on site page only (not in feed text)</t>
  </si>
  <si>
    <t xml:space="preserve">Chinese community / trade</t>
  </si>
  <si>
    <t xml:space="preserve">Criterion (ii): Melaka and George Town represent exceptional examples of multi-cultural trading towns in East and Southeast Asia, forged from the mercantile and exchanges of Malay, Chinese, and Indian cultures and three successive European colonial powers for almost 500 years...</t>
  </si>
  <si>
    <t xml:space="preserve">https://whc.unesco.org/en/list/1223/</t>
  </si>
  <si>
    <t xml:space="preserve">Hoi An Ancient Town</t>
  </si>
  <si>
    <t xml:space="preserve">会安古镇</t>
  </si>
  <si>
    <t xml:space="preserve">Viet Nam</t>
  </si>
  <si>
    <t xml:space="preserve">The town reflects a fusion of indigenous and foreign cultures (principally Chinese and Japanese with later European influences) that combined to produce this unique survival.</t>
  </si>
  <si>
    <t xml:space="preserve">https://whc.unesco.org/en/list/948/</t>
  </si>
  <si>
    <t xml:space="preserve">Ombilin Coal Mining Heritage of Sawahlunto</t>
  </si>
  <si>
    <t xml:space="preserve">沙哇伦多的翁比林煤矿遗产</t>
  </si>
  <si>
    <t xml:space="preserve">Indonesia</t>
  </si>
  <si>
    <t xml:space="preserve">Short description (feed)</t>
  </si>
  <si>
    <t xml:space="preserve">Chinese labour / migration</t>
  </si>
  <si>
    <t xml:space="preserve">The workforce was recruited from the local Minangkabau people and supplemented by Javanese and Chinese contract workers, and convict labourers from Dutch-controlled areas.</t>
  </si>
  <si>
    <t xml:space="preserve">https://whc.unesco.org/en/list/1610/</t>
  </si>
  <si>
    <t xml:space="preserve">Historic City of Vigan</t>
  </si>
  <si>
    <t xml:space="preserve">维甘历史古城</t>
  </si>
  <si>
    <t xml:space="preserve">Philippines</t>
  </si>
  <si>
    <t xml:space="preserve">Its architecture reflects the coming together of cultural elements from elsewhere in the Philippines, from China and from Europe...</t>
  </si>
  <si>
    <t xml:space="preserve">https://whc.unesco.org/en/list/502/</t>
  </si>
  <si>
    <t xml:space="preserve">Baroque Churches of the Philippines</t>
  </si>
  <si>
    <t xml:space="preserve">菲律宾的巴洛克教堂</t>
  </si>
  <si>
    <t xml:space="preserve">Chinese craftsmen</t>
  </si>
  <si>
    <t xml:space="preserve">Their unique architectural style is a reinterpretation of European Baroque by Chinese and Philippine craftsmen.</t>
  </si>
  <si>
    <t xml:space="preserve">https://whc.unesco.org/en/list/677/</t>
  </si>
  <si>
    <t xml:space="preserve">Central Sector of the Imperial Citadel of Thang Long - Hanoi</t>
  </si>
  <si>
    <t xml:space="preserve">河内升龙皇城</t>
  </si>
  <si>
    <t xml:space="preserve">Chinese political presence / influence</t>
  </si>
  <si>
    <t xml:space="preserve">It was constructed on the remains of a Chinese fortress dating from the 7th century... at the crossroads between influences coming from China in the north and the ancient Kingdom of Champa in the south.</t>
  </si>
  <si>
    <t xml:space="preserve">https://whc.unesco.org/en/list/1328/</t>
  </si>
  <si>
    <t xml:space="preserve">Complex of Koguryo Tombs</t>
  </si>
  <si>
    <t xml:space="preserve">高句丽古墓群</t>
  </si>
  <si>
    <t xml:space="preserve">Democratic People's Republic of Korea</t>
  </si>
  <si>
    <t xml:space="preserve">Shared history (Koguryo)</t>
  </si>
  <si>
    <t xml:space="preserve">...the Koguryo Kingdom, one of the strongest kingdoms in nowadays northeast China and half of the Korean peninsula... Only about 90 out of more than 10,000 Koguryo tombs discovered in China and Korea so far, have wall paintings.</t>
  </si>
  <si>
    <t xml:space="preserve">https://whc.unesco.org/en/list/1091/</t>
  </si>
  <si>
    <t xml:space="preserve">Ancient City of Qalhat</t>
  </si>
  <si>
    <t xml:space="preserve">卡尔哈特古城</t>
  </si>
  <si>
    <t xml:space="preserve">Oman</t>
  </si>
  <si>
    <t xml:space="preserve">The Ancient City bears unique archaeological testimony to the trade links between the east coast of Arabia, East Africa, India, China and South-East Asia.</t>
  </si>
  <si>
    <t xml:space="preserve">https://whc.unesco.org/en/list/1537/</t>
  </si>
  <si>
    <t xml:space="preserve">Ruins of Kilwa Kisiwani and Ruins of Songo Mnara</t>
  </si>
  <si>
    <t xml:space="preserve">基尔瓦基斯瓦尼遗址和松戈马拉遗址</t>
  </si>
  <si>
    <t xml:space="preserve">United Republic of Tanzania</t>
  </si>
  <si>
    <t xml:space="preserve">Maritime trade (porcelain)</t>
  </si>
  <si>
    <t xml:space="preserve">From the 13th to the 16th century, the merchants of Kilwa dealt in gold, silver, pearls, perfumes, Arabian crockery, Persian earthenware and Chinese porcelain.</t>
  </si>
  <si>
    <t xml:space="preserve">https://whc.unesco.org/en/list/144/</t>
  </si>
  <si>
    <t xml:space="preserve">Khami Ruins National Monument</t>
  </si>
  <si>
    <t xml:space="preserve">卡米国家遗址纪念地</t>
  </si>
  <si>
    <t xml:space="preserve">Zimbabwe</t>
  </si>
  <si>
    <t xml:space="preserve">Trade goods</t>
  </si>
  <si>
    <t xml:space="preserve">The discovery of objects from Europe and China shows that Khami was a major centre for trade over a long period of time.</t>
  </si>
  <si>
    <t xml:space="preserve">https://whc.unesco.org/en/list/365/</t>
  </si>
  <si>
    <t xml:space="preserve">Iwami Ginzan Silver Mine and its Cultural Landscape</t>
  </si>
  <si>
    <t xml:space="preserve">石见银山遗迹及其文化景观</t>
  </si>
  <si>
    <t xml:space="preserve">Japan</t>
  </si>
  <si>
    <t xml:space="preserve">...port towns from where it was shipped to Korea and China.</t>
  </si>
  <si>
    <t xml:space="preserve">https://whc.unesco.org/en/list/1246/</t>
  </si>
  <si>
    <t xml:space="preserve">Gusuku Sites and Related Properties of the Kingdom of Ryukyu</t>
  </si>
  <si>
    <t xml:space="preserve">琉球王国时期的遗迹</t>
  </si>
  <si>
    <t xml:space="preserve">Justification of criteria (feed)</t>
  </si>
  <si>
    <t xml:space="preserve">Maritime trade / exchange</t>
  </si>
  <si>
    <t xml:space="preserve">For several centuries the Ryukyu islands served as a centre of economic and cultural interchange between south-east Asia, China, Korea, and Japan...</t>
  </si>
  <si>
    <t xml:space="preserve">https://whc.unesco.org/en/list/972/</t>
  </si>
  <si>
    <t xml:space="preserve">Buddhist Monuments in the Horyu-ji Area</t>
  </si>
  <si>
    <t xml:space="preserve">法隆寺地区的佛教古迹</t>
  </si>
  <si>
    <t xml:space="preserve">Cultural influence</t>
  </si>
  <si>
    <t xml:space="preserve">...they illustrate the adaptation of Chinese Buddhist architecture and layout to Japanese culture... the introduction of Buddhism to Japan from China by way of the Korean peninsula.</t>
  </si>
  <si>
    <t xml:space="preserve">https://whc.unesco.org/en/list/660/</t>
  </si>
  <si>
    <t xml:space="preserve">Historic Monuments of Ancient Kyoto (Kyoto, Uji and Otsu Cities)</t>
  </si>
  <si>
    <t xml:space="preserve">古京都遗址（京都、宇治和大津城）</t>
  </si>
  <si>
    <t xml:space="preserve">Built in A.D. 794 on the model of the capitals of ancient China, Kyoto was the imperial capital of Japan...</t>
  </si>
  <si>
    <t xml:space="preserve">https://whc.unesco.org/en/list/688/</t>
  </si>
  <si>
    <t xml:space="preserve">Historic Monuments of Ancient Nara</t>
  </si>
  <si>
    <t xml:space="preserve">古奈良的历史遗迹</t>
  </si>
  <si>
    <t xml:space="preserve">...the evolution of Japanese architecture and art as a result of cultural links with China and Korea...</t>
  </si>
  <si>
    <t xml:space="preserve">https://whc.unesco.org/en/list/870/</t>
  </si>
  <si>
    <t xml:space="preserve">Sacred Sites and Pilgrimage Routes in the Kii Mountain Range</t>
  </si>
  <si>
    <t xml:space="preserve">纪伊山地的圣地与参拜道</t>
  </si>
  <si>
    <t xml:space="preserve">...Buddhism, which was introduced from China and the Korean Peninsula.</t>
  </si>
  <si>
    <t xml:space="preserve">https://whc.unesco.org/en/list/1142/</t>
  </si>
  <si>
    <t xml:space="preserve">Ancient Capitals of Asuka and Fujiwara</t>
  </si>
  <si>
    <t xml:space="preserve">飞鸟与藤原古都</t>
  </si>
  <si>
    <t xml:space="preserve">...a centralised state system modelled after the Chinese codified law known as ritsuryō.</t>
  </si>
  <si>
    <t xml:space="preserve">https://whc.unesco.org/en/list/1757/</t>
  </si>
  <si>
    <t xml:space="preserve">Baekje Historic Areas</t>
  </si>
  <si>
    <t xml:space="preserve">百济遗址区</t>
  </si>
  <si>
    <t xml:space="preserve">Republic of Korea</t>
  </si>
  <si>
    <t xml:space="preserve">Cultural influence / exchange</t>
  </si>
  <si>
    <t xml:space="preserve">...exchanges between the ancient East Asian kingdoms in Korea, China and Japan.</t>
  </si>
  <si>
    <t xml:space="preserve">https://whc.unesco.org/en/list/1477/</t>
  </si>
  <si>
    <t xml:space="preserve">Seowon, Korean Neo-Confucian Academies</t>
  </si>
  <si>
    <t xml:space="preserve">韩国新儒学书院</t>
  </si>
  <si>
    <t xml:space="preserve">The seowons illustrate a historical process in which Neo-Confucianism from China was adapted to Korean conditions.</t>
  </si>
  <si>
    <t xml:space="preserve">https://whc.unesco.org/en/list/1498/</t>
  </si>
  <si>
    <t xml:space="preserve">Namhansanseong</t>
  </si>
  <si>
    <t xml:space="preserve">Conflict / influence</t>
  </si>
  <si>
    <t xml:space="preserve">...rebuilt... in anticipation of an attack from the Sino-Manchu Qing dynasty... based on Chinese and Japanese influences...</t>
  </si>
  <si>
    <t xml:space="preserve">https://whc.unesco.org/en/list/1439/</t>
  </si>
  <si>
    <t xml:space="preserve">Royal Domain of Drottningholm</t>
  </si>
  <si>
    <t xml:space="preserve">德罗特宁霍尔摩皇宫</t>
  </si>
  <si>
    <t xml:space="preserve">Sweden</t>
  </si>
  <si>
    <t xml:space="preserve">Chinoiserie (European taste)</t>
  </si>
  <si>
    <t xml:space="preserve">With its castle, perfectly preserved theatre (built in 1766), Chinese pavilion and gardens...</t>
  </si>
  <si>
    <t xml:space="preserve">https://whc.unesco.org/en/list/559/</t>
  </si>
  <si>
    <t xml:space="preserve">The Cemetery Complexes of the Xiongnu Nobility</t>
  </si>
  <si>
    <t xml:space="preserve">匈奴贵族墓葬群</t>
  </si>
  <si>
    <t xml:space="preserve">Mongolia</t>
  </si>
  <si>
    <t xml:space="preserve">Silk Roads / Han interaction</t>
  </si>
  <si>
    <t xml:space="preserve">They interacted with the Han Chinese and controlled nodes along the main parts of the Steppe Route of the Silk Roads.</t>
  </si>
  <si>
    <t xml:space="preserve">https://whc.unesco.org/en/list/1759/</t>
  </si>
  <si>
    <t xml:space="preserve">Silk Roads: Zarafshan-Karakum Corridor</t>
  </si>
  <si>
    <r>
      <rPr>
        <sz val="10"/>
        <rFont val="Noto Sans CJK SC"/>
        <family val="2"/>
      </rPr>
      <t xml:space="preserve">丝绸之路：扎拉夫尚</t>
    </r>
    <r>
      <rPr>
        <sz val="10"/>
        <rFont val="Arial"/>
        <family val="0"/>
        <charset val="1"/>
      </rPr>
      <t xml:space="preserve">-</t>
    </r>
    <r>
      <rPr>
        <sz val="10"/>
        <rFont val="Noto Sans CJK SC"/>
        <family val="2"/>
      </rPr>
      <t xml:space="preserve">卡拉库姆廊道</t>
    </r>
  </si>
  <si>
    <t xml:space="preserve">Tajikistan, Turkmenistan, Uzbekistan</t>
  </si>
  <si>
    <t xml:space="preserve">Site name + short description (feed)</t>
  </si>
  <si>
    <t xml:space="preserve">Silk Roads (no China component)</t>
  </si>
  <si>
    <t xml:space="preserve">The Zarafshan-Karakum Corridor is a key section of the Silk Roads in Central Asia that connects other corridors from all directions.</t>
  </si>
  <si>
    <t xml:space="preserve">https://whc.unesco.org/en/list/1675/</t>
  </si>
  <si>
    <t xml:space="preserve">Tabriz Historic Bazaar Complex</t>
  </si>
  <si>
    <t xml:space="preserve">大不里士的集市区</t>
  </si>
  <si>
    <t xml:space="preserve">Iran (Islamic Republic of)</t>
  </si>
  <si>
    <t xml:space="preserve">...one of the most important commercial centres on the Silk Road.</t>
  </si>
  <si>
    <t xml:space="preserve">https://whc.unesco.org/en/list/1346/</t>
  </si>
  <si>
    <t xml:space="preserve">Historic City of Yazd</t>
  </si>
  <si>
    <t xml:space="preserve">...close to the Spice and Silk Roads.</t>
  </si>
  <si>
    <t xml:space="preserve">https://whc.unesco.org/en/list/1544/</t>
  </si>
  <si>
    <t xml:space="preserve">Sulaiman-Too Sacred Mountain</t>
  </si>
  <si>
    <t xml:space="preserve">Kyrgyzstan</t>
  </si>
  <si>
    <t xml:space="preserve">...at the crossroads of important routes on the Central Asian Silk Roads.</t>
  </si>
  <si>
    <t xml:space="preserve">https://whc.unesco.org/en/list/1230/</t>
  </si>
  <si>
    <t xml:space="preserve">Cultural Heritage Sites of Ancient Khuttal</t>
  </si>
  <si>
    <t xml:space="preserve">古骨咄的文化遗产地</t>
  </si>
  <si>
    <t xml:space="preserve">Tajikistan</t>
  </si>
  <si>
    <t xml:space="preserve">...reflecting its role from the 7th to 16th centuries in Silk Roads trade.</t>
  </si>
  <si>
    <t xml:space="preserve">https://whc.unesco.org/en/list/1627/</t>
  </si>
  <si>
    <t xml:space="preserve">Archaeological Site of Ani</t>
  </si>
  <si>
    <t xml:space="preserve">Türkiye</t>
  </si>
  <si>
    <t xml:space="preserve">...profited from control of one branch of the Silk Road.</t>
  </si>
  <si>
    <t xml:space="preserve">https://whc.unesco.org/en/list/1518/</t>
  </si>
  <si>
    <t xml:space="preserve">Cultural Landscape and Archaeological Remains of the Bamiyan Valley</t>
  </si>
  <si>
    <t xml:space="preserve">巴米扬山谷的文化景观和考古遗迹</t>
  </si>
  <si>
    <t xml:space="preserve">Afghanistan</t>
  </si>
  <si>
    <t xml:space="preserve">...an important Buddhist centre on the Silk Road...</t>
  </si>
  <si>
    <t xml:space="preserve">https://whc.unesco.org/en/list/208/</t>
  </si>
  <si>
    <t xml:space="preserve">Landscapes of Dauria</t>
  </si>
  <si>
    <t xml:space="preserve">Mongolia, Russian Federation</t>
  </si>
  <si>
    <t xml:space="preserve">Geographic mention only</t>
  </si>
  <si>
    <t xml:space="preserve">...the Daurian Steppe eco-region, which extends from eastern Mongolia into Russian Siberia and northeastern China.</t>
  </si>
  <si>
    <t xml:space="preserve">https://whc.unesco.org/en/list/1448/</t>
  </si>
  <si>
    <t xml:space="preserve">Keoladeo National Park</t>
  </si>
  <si>
    <t xml:space="preserve">凯奥拉德奥国家公园</t>
  </si>
  <si>
    <t xml:space="preserve">India</t>
  </si>
  <si>
    <t xml:space="preserve">...wintering areas for large numbers of aquatic birds from Afghanistan, Turkmenistan, China and Siberia.</t>
  </si>
  <si>
    <t xml:space="preserve">https://whc.unesco.org/en/list/340/</t>
  </si>
  <si>
    <t xml:space="preserve">Kinabalu Park</t>
  </si>
  <si>
    <t xml:space="preserve">基纳巴卢山公园</t>
  </si>
  <si>
    <t xml:space="preserve">...flora from the Himalayas, China, Australia, Malaysia...</t>
  </si>
  <si>
    <t xml:space="preserve">https://whc.unesco.org/en/list/1012/</t>
  </si>
  <si>
    <t xml:space="preserve">Amami-Oshima Island, Tokunoshima Island, Northern part of Okinawa Island, and Iriomote Island</t>
  </si>
  <si>
    <t xml:space="preserve">奄美大岛、德之岛、冲绳岛北部及西表岛</t>
  </si>
  <si>
    <t xml:space="preserve">...the serial site forms an arc on the boundary of the East China Sea and Philippine Sea...</t>
  </si>
  <si>
    <t xml:space="preserve">https://whc.unesco.org/en/list/1574/</t>
  </si>
  <si>
    <t xml:space="preserve">Record type</t>
  </si>
  <si>
    <t xml:space="preserve">Name</t>
  </si>
  <si>
    <t xml:space="preserve">States</t>
  </si>
  <si>
    <t xml:space="preserve">Year(s)</t>
  </si>
  <si>
    <t xml:space="preserve">List / programme</t>
  </si>
  <si>
    <t xml:space="preserve">Relevance to project</t>
  </si>
  <si>
    <t xml:space="preserve">Link</t>
  </si>
  <si>
    <t xml:space="preserve">Intangible heritage (joint)</t>
  </si>
  <si>
    <t xml:space="preserve">Ong Chun/Wangchuan/Wangkang ceremony, rituals and related practices for maintaining the sustainable connection between man and the ocean</t>
  </si>
  <si>
    <t xml:space="preserve">China + Malaysia</t>
  </si>
  <si>
    <t xml:space="preserve">2020</t>
  </si>
  <si>
    <t xml:space="preserve">Representative List; decision 15.COM 8.B.22</t>
  </si>
  <si>
    <t xml:space="preserve">Diaspora / Maritime</t>
  </si>
  <si>
    <t xml:space="preserve">Joint China-Malaysia nomination. UNESCO text: 'Developed in China's Minnan region between the fifteenth and seventeenth centuries, the element is now centered in the coastal areas of Xiamen Bay and Quanzhou Bay, as well as in the Chinese communities in Melaka, Malaysia.'</t>
  </si>
  <si>
    <t xml:space="preserve">https://ich.unesco.org/en/RL/ong-chun-wangchuan-wangkang-ceremony-rituals-and-related-practices-for-maintaining-the-sustainable-connection-between-man-and-the-ocean-01608</t>
  </si>
  <si>
    <t xml:space="preserve">Urtiin Duu, traditional folk long song</t>
  </si>
  <si>
    <t xml:space="preserve">Mongolia + China</t>
  </si>
  <si>
    <t xml:space="preserve">2005 proclaimed; 2008 inscribed</t>
  </si>
  <si>
    <t xml:space="preserve">Representative List</t>
  </si>
  <si>
    <t xml:space="preserve">Shared cross-border tradition</t>
  </si>
  <si>
    <t xml:space="preserve">Joint Mongolia-China element.</t>
  </si>
  <si>
    <t xml:space="preserve">https://ich.unesco.org/en/RL/urtiin-duu-traditional-folk-long-song-00115</t>
  </si>
  <si>
    <t xml:space="preserve">Intangible heritage (parallel national)</t>
  </si>
  <si>
    <t xml:space="preserve">Mongolian art of singing, Khoomei (China) vs Mongolian traditional art of Khöömei (Mongolia)</t>
  </si>
  <si>
    <t xml:space="preserve">China (2009); Mongolia (2010)</t>
  </si>
  <si>
    <t xml:space="preserve">2009 / 2010</t>
  </si>
  <si>
    <t xml:space="preserve">Representative List, two separate national inscriptions</t>
  </si>
  <si>
    <t xml:space="preserve">Framing contest</t>
  </si>
  <si>
    <t xml:space="preserve">Same tradition inscribed separately by each state a year apart. Useful case for 'who defines heritage'.</t>
  </si>
  <si>
    <t xml:space="preserve">https://ich.unesco.org/en/RL/mongolian-art-of-singing-khoomei-00210 ; https://ich.unesco.org/en/RL/mongolian-traditional-art-of-khoomei-00396</t>
  </si>
  <si>
    <t xml:space="preserve">Intangible heritage (China only)</t>
  </si>
  <si>
    <t xml:space="preserve">Mazu belief and customs</t>
  </si>
  <si>
    <t xml:space="preserve">China</t>
  </si>
  <si>
    <t xml:space="preserve">2009</t>
  </si>
  <si>
    <t xml:space="preserve">Diaspora (lead)</t>
  </si>
  <si>
    <t xml:space="preserve">China-only inscription of a practice with temples across the Chinese diaspora. Lead for the historical-presence layer; not yet checked against UNESCO text.</t>
  </si>
  <si>
    <t xml:space="preserve">https://ich.unesco.org/en/state/china-CN?info=elements-on-the-lists</t>
  </si>
  <si>
    <t xml:space="preserve">Nanyin</t>
  </si>
  <si>
    <t xml:space="preserve">China-only inscription (Quanzhou music) also practised in Southeast Asian Chinese communities. Lead only; not yet checked against UNESCO text.</t>
  </si>
  <si>
    <t xml:space="preserve">Watertight-bulkhead technology of Chinese junks</t>
  </si>
  <si>
    <t xml:space="preserve">2010</t>
  </si>
  <si>
    <t xml:space="preserve">Urgent Safeguarding List</t>
  </si>
  <si>
    <t xml:space="preserve">Maritime (lead)</t>
  </si>
  <si>
    <t xml:space="preserve">Maritime technology; possible link to Maritime Silk Road framing. Lead only.</t>
  </si>
  <si>
    <t xml:space="preserve">Memory of the World</t>
  </si>
  <si>
    <t xml:space="preserve">Qiaopi and Yinxin Correspondence and Remittance Documents from Overseas Chinese</t>
  </si>
  <si>
    <t xml:space="preserve">2013 (international); 2012 Asia-Pacific register (Teochew qiaopi)</t>
  </si>
  <si>
    <t xml:space="preserve">International Register</t>
  </si>
  <si>
    <t xml:space="preserve">Diaspora</t>
  </si>
  <si>
    <t xml:space="preserve">Letters and remittances between overseas Chinese and home villages. Directly relevant to overseas Chinese heritage. UNESCO page could not be fetched (robots); details via secondary source.</t>
  </si>
  <si>
    <t xml:space="preserve">https://www.unesco.org/en/memory-world/qiaopi-and-yinxin-correspondence-and-remittance-documents-overseas-chinese</t>
  </si>
  <si>
    <t xml:space="preserve">UNESCO programme</t>
  </si>
  <si>
    <t xml:space="preserve">UNESCO Silk Roads Project / Programme (incl. 1990-91 Maritime Route Expedition)</t>
  </si>
  <si>
    <t xml:space="preserve">Multinational</t>
  </si>
  <si>
    <t xml:space="preserve">1988-1998 project; programme ongoing</t>
  </si>
  <si>
    <t xml:space="preserve">Social and Human Sciences Sector</t>
  </si>
  <si>
    <t xml:space="preserve">Silk Roads / Maritime</t>
  </si>
  <si>
    <t xml:space="preserve">Sen (2023) links the 1990-91 expedition ('90 scholars from 26 countries', 21 ports) to the rise of the 'Maritime Silk Road' concept in the PRC. Key for tracking framing over time.</t>
  </si>
  <si>
    <t xml:space="preserve">https://en.unesco.org/silkroad</t>
  </si>
  <si>
    <t xml:space="preserve">UNESCO capacity-building project</t>
  </si>
  <si>
    <t xml:space="preserve">Safeguarding World Heritage along the Silk Roads (Silk Roads transnational nomination support)</t>
  </si>
  <si>
    <t xml:space="preserve">Kazakhstan, Kyrgyzstan, Tajikistan, Turkmenistan, Uzbekistan, China and others</t>
  </si>
  <si>
    <t xml:space="preserve">2011-2014 (Phase I); 2015-2018 (Phase II)</t>
  </si>
  <si>
    <t xml:space="preserve">UNESCO/Japan Funds-in-Trust, run by World Heritage Centre</t>
  </si>
  <si>
    <t xml:space="preserve">Supported the corridor nominations, including Chang'an-Tianshan (2014). Shows Japan, not China, as funder of this track.</t>
  </si>
  <si>
    <t xml:space="preserve">https://southsouth-galaxy.org/solution/safeguarding-world-heritage-along-the-silk-roads/</t>
  </si>
  <si>
    <t xml:space="preserve">UNESCO category 2 centre (in China)</t>
  </si>
  <si>
    <t xml:space="preserve">World Heritage Institute of Training and Research for the Asia and the Pacific Region (WHITRAP)</t>
  </si>
  <si>
    <t xml:space="preserve">China (serves Asia-Pacific)</t>
  </si>
  <si>
    <t xml:space="preserve">Established under UNESCO auspices (year to confirm)</t>
  </si>
  <si>
    <t xml:space="preserve">Category 2 centre; Beijing, Shanghai, Suzhou</t>
  </si>
  <si>
    <t xml:space="preserve">Chinese institutional engagement</t>
  </si>
  <si>
    <t xml:space="preserve">Chinese-hosted UNESCO training institute serving other States Parties. Source for training and partnership data.</t>
  </si>
  <si>
    <t xml:space="preserve">https://whitrap.pku.edu.cn/About_us/Introduction_Center.htm</t>
  </si>
  <si>
    <t xml:space="preserve">Document</t>
  </si>
  <si>
    <t xml:space="preserve">Type</t>
  </si>
  <si>
    <t xml:space="preserve">Year</t>
  </si>
  <si>
    <t xml:space="preserve">URL</t>
  </si>
  <si>
    <t xml:space="preserve">Nomination file 1442</t>
  </si>
  <si>
    <t xml:space="preserve">Nomination</t>
  </si>
  <si>
    <t xml:space="preserve">https://whc.unesco.org/uploads/nominations/1442.pdf</t>
  </si>
  <si>
    <t xml:space="preserve">Advisory Body Evaluation (ICOMOS)</t>
  </si>
  <si>
    <t xml:space="preserve">Evaluation</t>
  </si>
  <si>
    <t xml:space="preserve">https://whc.unesco.org/document/152690</t>
  </si>
  <si>
    <t xml:space="preserve">Maps of inscribed property</t>
  </si>
  <si>
    <t xml:space="preserve">Maps</t>
  </si>
  <si>
    <t xml:space="preserve">https://whc.unesco.org/document/132728</t>
  </si>
  <si>
    <t xml:space="preserve">Decision 38COM 8B.24 (inscription)</t>
  </si>
  <si>
    <t xml:space="preserve">Decision</t>
  </si>
  <si>
    <t xml:space="preserve">https://whc.unesco.org/en/decisions/6110</t>
  </si>
  <si>
    <t xml:space="preserve">Decision 40COM 7B.34</t>
  </si>
  <si>
    <t xml:space="preserve">Decision (state of conservation)</t>
  </si>
  <si>
    <t xml:space="preserve">2016</t>
  </si>
  <si>
    <t xml:space="preserve">https://whc.unesco.org/en/decisions/6699</t>
  </si>
  <si>
    <t xml:space="preserve">Decision 41COM 7B.88</t>
  </si>
  <si>
    <t xml:space="preserve">2017</t>
  </si>
  <si>
    <t xml:space="preserve">https://whc.unesco.org/en/decisions/7087</t>
  </si>
  <si>
    <t xml:space="preserve">Decision 42COM 7B.5</t>
  </si>
  <si>
    <t xml:space="preserve">2018</t>
  </si>
  <si>
    <t xml:space="preserve">https://whc.unesco.org/en/decisions/7234</t>
  </si>
  <si>
    <t xml:space="preserve">Decision 44COM 7B.22</t>
  </si>
  <si>
    <t xml:space="preserve">2021</t>
  </si>
  <si>
    <t xml:space="preserve">https://whc.unesco.org/en/decisions/7740</t>
  </si>
  <si>
    <t xml:space="preserve">Decision 45COM 7B.156</t>
  </si>
  <si>
    <t xml:space="preserve">2023</t>
  </si>
  <si>
    <t xml:space="preserve">https://whc.unesco.org/en/decisions/8160</t>
  </si>
  <si>
    <t xml:space="preserve">Decision 47COM 7B.67</t>
  </si>
  <si>
    <t xml:space="preserve">2025</t>
  </si>
  <si>
    <t xml:space="preserve">https://whc.unesco.org/en/decisions/8791</t>
  </si>
  <si>
    <t xml:space="preserve">ICOMOS Advisory Mission Report - Talgar component (Kazakhstan)</t>
  </si>
  <si>
    <t xml:space="preserve">Mission report</t>
  </si>
  <si>
    <t xml:space="preserve">https://whc.unesco.org/document/142401</t>
  </si>
  <si>
    <t xml:space="preserve">Joint WHC/ICOMOS Reactive Monitoring Mission Report (Kazakhstan)</t>
  </si>
  <si>
    <t xml:space="preserve">https://whc.unesco.org/document/158586</t>
  </si>
  <si>
    <t xml:space="preserve">Periodic Reporting Cycle 3, Section II</t>
  </si>
  <si>
    <t xml:space="preserve">Periodic report</t>
  </si>
  <si>
    <t xml:space="preserve">https://whc.unesco.org/document/217919</t>
  </si>
  <si>
    <t xml:space="preserve">State of conservation report (multilingual)</t>
  </si>
  <si>
    <t xml:space="preserve">SOC report</t>
  </si>
  <si>
    <t xml:space="preserve">https://whc.unesco.org/document/218280</t>
  </si>
  <si>
    <t xml:space="preserve">State of conservation report</t>
  </si>
  <si>
    <t xml:space="preserve">https://whc.unesco.org/document/180694</t>
  </si>
  <si>
    <t xml:space="preserve">State of conservation report (Kazakhstan)</t>
  </si>
  <si>
    <t xml:space="preserve">https://whc.unesco.org/document/166338</t>
  </si>
  <si>
    <t xml:space="preserve">https://whc.unesco.org/document/156862</t>
  </si>
  <si>
    <t xml:space="preserve">State of conservation report (China)</t>
  </si>
  <si>
    <t xml:space="preserve">https://whc.unesco.org/document/165239</t>
  </si>
  <si>
    <t xml:space="preserve">https://whc.unesco.org/document/139846</t>
  </si>
  <si>
    <t xml:space="preserve">State of conservation report (Kyrgyzstan)</t>
  </si>
  <si>
    <t xml:space="preserve">https://whc.unesco.org/document/139897</t>
  </si>
  <si>
    <t xml:space="preserve">Summary state of conservation report (China)</t>
  </si>
  <si>
    <t xml:space="preserve">2015</t>
  </si>
  <si>
    <t xml:space="preserve">https://whc.unesco.org/document/139854</t>
  </si>
  <si>
    <t xml:space="preserve">Source</t>
  </si>
  <si>
    <t xml:space="preserve">Access method</t>
  </si>
  <si>
    <t xml:space="preserve">Systematic / structured?</t>
  </si>
  <si>
    <t xml:space="preserve">Notes for the project</t>
  </si>
  <si>
    <t xml:space="preserve">World Heritage List - XML feed (EN)</t>
  </si>
  <si>
    <t xml:space="preserve">https://whc.unesco.org/en/list/xml/</t>
  </si>
  <si>
    <t xml:space="preserve">Bulk download</t>
  </si>
  <si>
    <t xml:space="preserve">Yes: 1,273 properties. Fields: id_number, site, states, iso_code, category, criteria_txt, date_inscribed, secondary_dates, danger, transnational, regions, location, short_description, justification, geolocations (one point per component).</t>
  </si>
  <si>
    <t xml:space="preserve">Best base layer. id_number is a stable key. Short text only: no full OUV statement.</t>
  </si>
  <si>
    <t xml:space="preserve">World Heritage List - XML feed (ZH)</t>
  </si>
  <si>
    <t xml:space="preserve">https://whc.unesco.org/zh/list/xml/</t>
  </si>
  <si>
    <t xml:space="preserve">Yes: same 1,273 records in Chinese.</t>
  </si>
  <si>
    <t xml:space="preserve">Gives UNESCO's own Chinese names and descriptions for comparing framing. Gaps: e.g. 1442 Silk Roads, 1111 Hani Terraces, 1223 Melaka, 1541 Kulangsu have empty Chinese names.</t>
  </si>
  <si>
    <t xml:space="preserve">World Heritage List - XLS/XLSX, KML, GeoRSS, RSS</t>
  </si>
  <si>
    <t xml:space="preserve">https://whc.unesco.org/en/syndication</t>
  </si>
  <si>
    <t xml:space="preserve">Yes.</t>
  </si>
  <si>
    <t xml:space="preserve">XLSX and KML are handy for mapping. Same content as XML.</t>
  </si>
  <si>
    <t xml:space="preserve">Site pages (/en/list/{id}/)</t>
  </si>
  <si>
    <t xml:space="preserve">Web page</t>
  </si>
  <si>
    <t xml:space="preserve">Partly: full Statement of OUV, brief synthesis, criteria text.</t>
  </si>
  <si>
    <t xml:space="preserve">Holds the richer wording (e.g. Chinese communities in Melaka, Hoi An) that the feed lacks. Not syndicated: UNESCO terms say non-syndicated sections may not be scraped. Read manually or ask permission.</t>
  </si>
  <si>
    <t xml:space="preserve">Documents pages (/en/list/{id}/documents/)</t>
  </si>
  <si>
    <t xml:space="preserve">Web page + PDFs</t>
  </si>
  <si>
    <t xml:space="preserve">Yes, per site: nomination file, ICOMOS/IUCN evaluation, decisions, maps, mission, SOC and periodic reports.</t>
  </si>
  <si>
    <t xml:space="preserve">Key for dated framings (nomination vs evaluation vs decisions). PDFs are large (1442 nomination file ~1 GB).</t>
  </si>
  <si>
    <t xml:space="preserve">Tentative Lists (/en/tentativelists/{id}/)</t>
  </si>
  <si>
    <t xml:space="preserve">https://whc.unesco.org/en/statesparties/cn</t>
  </si>
  <si>
    <t xml:space="preserve">Partly: no bulk feed found.</t>
  </si>
  <si>
    <t xml:space="preserve">China has 60 TL entries. Other countries' TL entries mentioning China cannot be searched in bulk without scraping; use manual search or request data.</t>
  </si>
  <si>
    <t xml:space="preserve">Decisions database</t>
  </si>
  <si>
    <t xml:space="preserve">https://whc.unesco.org/en/decisions/</t>
  </si>
  <si>
    <t xml:space="preserve">Searchable by keyword and session.</t>
  </si>
  <si>
    <t xml:space="preserve">Use for UNESCO's official wording over time (e.g. 'Maritime Silk Road' in decisions).</t>
  </si>
  <si>
    <t xml:space="preserve">Intangible Cultural Heritage lists</t>
  </si>
  <si>
    <t xml:space="preserve">Partly: list per state; multinational status only on element pages.</t>
  </si>
  <si>
    <t xml:space="preserve">China: 45 elements. Joint ones found: Ong Chun/Wangchuan/Wangkang (with Malaysia), Urtiin Duu (with Mongolia).</t>
  </si>
  <si>
    <t xml:space="preserve">https://www.unesco.org/en/memory-world</t>
  </si>
  <si>
    <t xml:space="preserve">Partly.</t>
  </si>
  <si>
    <t xml:space="preserve">unesco.org blocked automated fetching (robots.txt). Read manually.</t>
  </si>
  <si>
    <t xml:space="preserve">Wikidata (crosswalk)</t>
  </si>
  <si>
    <t xml:space="preserve">https://www.wikidata.org</t>
  </si>
  <si>
    <t xml:space="preserve">SPARQL API</t>
  </si>
  <si>
    <t xml:space="preserve">Yes: links WH IDs to multilingual names and coordinates.</t>
  </si>
  <si>
    <t xml:space="preserve">Not reachable from this workspace; test in Phase 2.</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</si>
</sst>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1"/>
      <color rgb="FFFFFFFF"/>
      <name val="Arial"/>
      <family val="0"/>
      <charset val="1"/>
    </font>
    <font>
      <sz val="10"/>
      <name val="Noto Sans CJK SC"/>
      <family val="2"/>
    </font>
    <font>
      <u val="single"/>
      <sz val="10"/>
      <color rgb="FF0563C1"/>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hc.unesco.org/en/list/437/" TargetMode="External"/><Relationship Id="rId2" Type="http://schemas.openxmlformats.org/officeDocument/2006/relationships/hyperlink" Target="https://whc.unesco.org/en/list/437/documents/" TargetMode="External"/><Relationship Id="rId3" Type="http://schemas.openxmlformats.org/officeDocument/2006/relationships/hyperlink" Target="https://whc.unesco.org/en/list/438/" TargetMode="External"/><Relationship Id="rId4" Type="http://schemas.openxmlformats.org/officeDocument/2006/relationships/hyperlink" Target="https://whc.unesco.org/en/list/438/documents/" TargetMode="External"/><Relationship Id="rId5" Type="http://schemas.openxmlformats.org/officeDocument/2006/relationships/hyperlink" Target="https://whc.unesco.org/en/list/439/" TargetMode="External"/><Relationship Id="rId6" Type="http://schemas.openxmlformats.org/officeDocument/2006/relationships/hyperlink" Target="https://whc.unesco.org/en/list/439/documents/" TargetMode="External"/><Relationship Id="rId7" Type="http://schemas.openxmlformats.org/officeDocument/2006/relationships/hyperlink" Target="https://whc.unesco.org/en/list/440/" TargetMode="External"/><Relationship Id="rId8" Type="http://schemas.openxmlformats.org/officeDocument/2006/relationships/hyperlink" Target="https://whc.unesco.org/en/list/440/documents/" TargetMode="External"/><Relationship Id="rId9" Type="http://schemas.openxmlformats.org/officeDocument/2006/relationships/hyperlink" Target="https://whc.unesco.org/en/list/441/" TargetMode="External"/><Relationship Id="rId10" Type="http://schemas.openxmlformats.org/officeDocument/2006/relationships/hyperlink" Target="https://whc.unesco.org/en/list/441/documents/" TargetMode="External"/><Relationship Id="rId11" Type="http://schemas.openxmlformats.org/officeDocument/2006/relationships/hyperlink" Target="https://whc.unesco.org/en/list/449/" TargetMode="External"/><Relationship Id="rId12" Type="http://schemas.openxmlformats.org/officeDocument/2006/relationships/hyperlink" Target="https://whc.unesco.org/en/list/449/documents/" TargetMode="External"/><Relationship Id="rId13" Type="http://schemas.openxmlformats.org/officeDocument/2006/relationships/hyperlink" Target="https://whc.unesco.org/en/list/547/" TargetMode="External"/><Relationship Id="rId14" Type="http://schemas.openxmlformats.org/officeDocument/2006/relationships/hyperlink" Target="https://whc.unesco.org/en/list/547/documents/" TargetMode="External"/><Relationship Id="rId15" Type="http://schemas.openxmlformats.org/officeDocument/2006/relationships/hyperlink" Target="https://whc.unesco.org/en/list/637/" TargetMode="External"/><Relationship Id="rId16" Type="http://schemas.openxmlformats.org/officeDocument/2006/relationships/hyperlink" Target="https://whc.unesco.org/en/list/637/documents/" TargetMode="External"/><Relationship Id="rId17" Type="http://schemas.openxmlformats.org/officeDocument/2006/relationships/hyperlink" Target="https://whc.unesco.org/en/list/638/" TargetMode="External"/><Relationship Id="rId18" Type="http://schemas.openxmlformats.org/officeDocument/2006/relationships/hyperlink" Target="https://whc.unesco.org/en/list/638/documents/" TargetMode="External"/><Relationship Id="rId19" Type="http://schemas.openxmlformats.org/officeDocument/2006/relationships/hyperlink" Target="https://whc.unesco.org/en/list/640/" TargetMode="External"/><Relationship Id="rId20" Type="http://schemas.openxmlformats.org/officeDocument/2006/relationships/hyperlink" Target="https://whc.unesco.org/en/list/640/documents/" TargetMode="External"/><Relationship Id="rId21" Type="http://schemas.openxmlformats.org/officeDocument/2006/relationships/hyperlink" Target="https://whc.unesco.org/en/list/703/" TargetMode="External"/><Relationship Id="rId22" Type="http://schemas.openxmlformats.org/officeDocument/2006/relationships/hyperlink" Target="https://whc.unesco.org/en/list/703/documents/" TargetMode="External"/><Relationship Id="rId23" Type="http://schemas.openxmlformats.org/officeDocument/2006/relationships/hyperlink" Target="https://whc.unesco.org/en/list/704/" TargetMode="External"/><Relationship Id="rId24" Type="http://schemas.openxmlformats.org/officeDocument/2006/relationships/hyperlink" Target="https://whc.unesco.org/en/list/704/documents/" TargetMode="External"/><Relationship Id="rId25" Type="http://schemas.openxmlformats.org/officeDocument/2006/relationships/hyperlink" Target="https://whc.unesco.org/en/list/705/" TargetMode="External"/><Relationship Id="rId26" Type="http://schemas.openxmlformats.org/officeDocument/2006/relationships/hyperlink" Target="https://whc.unesco.org/en/list/705/documents/" TargetMode="External"/><Relationship Id="rId27" Type="http://schemas.openxmlformats.org/officeDocument/2006/relationships/hyperlink" Target="https://whc.unesco.org/en/list/707/" TargetMode="External"/><Relationship Id="rId28" Type="http://schemas.openxmlformats.org/officeDocument/2006/relationships/hyperlink" Target="https://whc.unesco.org/en/list/707/documents/" TargetMode="External"/><Relationship Id="rId29" Type="http://schemas.openxmlformats.org/officeDocument/2006/relationships/hyperlink" Target="https://whc.unesco.org/en/list/778/" TargetMode="External"/><Relationship Id="rId30" Type="http://schemas.openxmlformats.org/officeDocument/2006/relationships/hyperlink" Target="https://whc.unesco.org/en/list/778/documents/" TargetMode="External"/><Relationship Id="rId31" Type="http://schemas.openxmlformats.org/officeDocument/2006/relationships/hyperlink" Target="https://whc.unesco.org/en/list/779/" TargetMode="External"/><Relationship Id="rId32" Type="http://schemas.openxmlformats.org/officeDocument/2006/relationships/hyperlink" Target="https://whc.unesco.org/en/list/779/documents/" TargetMode="External"/><Relationship Id="rId33" Type="http://schemas.openxmlformats.org/officeDocument/2006/relationships/hyperlink" Target="https://whc.unesco.org/en/list/811/" TargetMode="External"/><Relationship Id="rId34" Type="http://schemas.openxmlformats.org/officeDocument/2006/relationships/hyperlink" Target="https://whc.unesco.org/en/list/811/documents/" TargetMode="External"/><Relationship Id="rId35" Type="http://schemas.openxmlformats.org/officeDocument/2006/relationships/hyperlink" Target="https://whc.unesco.org/en/list/812/" TargetMode="External"/><Relationship Id="rId36" Type="http://schemas.openxmlformats.org/officeDocument/2006/relationships/hyperlink" Target="https://whc.unesco.org/en/list/812/documents/" TargetMode="External"/><Relationship Id="rId37" Type="http://schemas.openxmlformats.org/officeDocument/2006/relationships/hyperlink" Target="https://whc.unesco.org/en/list/813/" TargetMode="External"/><Relationship Id="rId38" Type="http://schemas.openxmlformats.org/officeDocument/2006/relationships/hyperlink" Target="https://whc.unesco.org/en/list/813/documents/" TargetMode="External"/><Relationship Id="rId39" Type="http://schemas.openxmlformats.org/officeDocument/2006/relationships/hyperlink" Target="https://whc.unesco.org/en/list/880/" TargetMode="External"/><Relationship Id="rId40" Type="http://schemas.openxmlformats.org/officeDocument/2006/relationships/hyperlink" Target="https://whc.unesco.org/en/list/880/documents/" TargetMode="External"/><Relationship Id="rId41" Type="http://schemas.openxmlformats.org/officeDocument/2006/relationships/hyperlink" Target="https://whc.unesco.org/en/list/881/" TargetMode="External"/><Relationship Id="rId42" Type="http://schemas.openxmlformats.org/officeDocument/2006/relationships/hyperlink" Target="https://whc.unesco.org/en/list/881/documents/" TargetMode="External"/><Relationship Id="rId43" Type="http://schemas.openxmlformats.org/officeDocument/2006/relationships/hyperlink" Target="https://whc.unesco.org/en/list/911/" TargetMode="External"/><Relationship Id="rId44" Type="http://schemas.openxmlformats.org/officeDocument/2006/relationships/hyperlink" Target="https://whc.unesco.org/en/list/911/documents/" TargetMode="External"/><Relationship Id="rId45" Type="http://schemas.openxmlformats.org/officeDocument/2006/relationships/hyperlink" Target="https://whc.unesco.org/en/list/912/" TargetMode="External"/><Relationship Id="rId46" Type="http://schemas.openxmlformats.org/officeDocument/2006/relationships/hyperlink" Target="https://whc.unesco.org/en/list/912/documents/" TargetMode="External"/><Relationship Id="rId47" Type="http://schemas.openxmlformats.org/officeDocument/2006/relationships/hyperlink" Target="https://whc.unesco.org/en/list/1001/" TargetMode="External"/><Relationship Id="rId48" Type="http://schemas.openxmlformats.org/officeDocument/2006/relationships/hyperlink" Target="https://whc.unesco.org/en/list/1001/documents/" TargetMode="External"/><Relationship Id="rId49" Type="http://schemas.openxmlformats.org/officeDocument/2006/relationships/hyperlink" Target="https://whc.unesco.org/en/list/1002/" TargetMode="External"/><Relationship Id="rId50" Type="http://schemas.openxmlformats.org/officeDocument/2006/relationships/hyperlink" Target="https://whc.unesco.org/en/list/1002/documents/" TargetMode="External"/><Relationship Id="rId51" Type="http://schemas.openxmlformats.org/officeDocument/2006/relationships/hyperlink" Target="https://whc.unesco.org/en/list/1003/" TargetMode="External"/><Relationship Id="rId52" Type="http://schemas.openxmlformats.org/officeDocument/2006/relationships/hyperlink" Target="https://whc.unesco.org/en/list/1003/documents/" TargetMode="External"/><Relationship Id="rId53" Type="http://schemas.openxmlformats.org/officeDocument/2006/relationships/hyperlink" Target="https://whc.unesco.org/en/list/1004/" TargetMode="External"/><Relationship Id="rId54" Type="http://schemas.openxmlformats.org/officeDocument/2006/relationships/hyperlink" Target="https://whc.unesco.org/en/list/1004/documents/" TargetMode="External"/><Relationship Id="rId55" Type="http://schemas.openxmlformats.org/officeDocument/2006/relationships/hyperlink" Target="https://whc.unesco.org/en/list/1039/" TargetMode="External"/><Relationship Id="rId56" Type="http://schemas.openxmlformats.org/officeDocument/2006/relationships/hyperlink" Target="https://whc.unesco.org/en/list/1039/documents/" TargetMode="External"/><Relationship Id="rId57" Type="http://schemas.openxmlformats.org/officeDocument/2006/relationships/hyperlink" Target="https://whc.unesco.org/en/list/1083/" TargetMode="External"/><Relationship Id="rId58" Type="http://schemas.openxmlformats.org/officeDocument/2006/relationships/hyperlink" Target="https://whc.unesco.org/en/list/1083/documents/" TargetMode="External"/><Relationship Id="rId59" Type="http://schemas.openxmlformats.org/officeDocument/2006/relationships/hyperlink" Target="https://whc.unesco.org/en/list/1135/" TargetMode="External"/><Relationship Id="rId60" Type="http://schemas.openxmlformats.org/officeDocument/2006/relationships/hyperlink" Target="https://whc.unesco.org/en/list/1135/documents/" TargetMode="External"/><Relationship Id="rId61" Type="http://schemas.openxmlformats.org/officeDocument/2006/relationships/hyperlink" Target="https://whc.unesco.org/en/list/1110/" TargetMode="External"/><Relationship Id="rId62" Type="http://schemas.openxmlformats.org/officeDocument/2006/relationships/hyperlink" Target="https://whc.unesco.org/en/list/1110/documents/" TargetMode="External"/><Relationship Id="rId63" Type="http://schemas.openxmlformats.org/officeDocument/2006/relationships/hyperlink" Target="https://whc.unesco.org/en/list/1114/" TargetMode="External"/><Relationship Id="rId64" Type="http://schemas.openxmlformats.org/officeDocument/2006/relationships/hyperlink" Target="https://whc.unesco.org/en/list/1114/documents/" TargetMode="External"/><Relationship Id="rId65" Type="http://schemas.openxmlformats.org/officeDocument/2006/relationships/hyperlink" Target="https://whc.unesco.org/en/list/1213/" TargetMode="External"/><Relationship Id="rId66" Type="http://schemas.openxmlformats.org/officeDocument/2006/relationships/hyperlink" Target="https://whc.unesco.org/en/list/1213/documents/" TargetMode="External"/><Relationship Id="rId67" Type="http://schemas.openxmlformats.org/officeDocument/2006/relationships/hyperlink" Target="https://whc.unesco.org/en/list/1112/" TargetMode="External"/><Relationship Id="rId68" Type="http://schemas.openxmlformats.org/officeDocument/2006/relationships/hyperlink" Target="https://whc.unesco.org/en/list/1112/documents/" TargetMode="External"/><Relationship Id="rId69" Type="http://schemas.openxmlformats.org/officeDocument/2006/relationships/hyperlink" Target="https://whc.unesco.org/en/list/1248/" TargetMode="External"/><Relationship Id="rId70" Type="http://schemas.openxmlformats.org/officeDocument/2006/relationships/hyperlink" Target="https://whc.unesco.org/en/list/1248/documents/" TargetMode="External"/><Relationship Id="rId71" Type="http://schemas.openxmlformats.org/officeDocument/2006/relationships/hyperlink" Target="https://whc.unesco.org/en/list/1113/" TargetMode="External"/><Relationship Id="rId72" Type="http://schemas.openxmlformats.org/officeDocument/2006/relationships/hyperlink" Target="https://whc.unesco.org/en/list/1113/documents/" TargetMode="External"/><Relationship Id="rId73" Type="http://schemas.openxmlformats.org/officeDocument/2006/relationships/hyperlink" Target="https://whc.unesco.org/en/list/1292/" TargetMode="External"/><Relationship Id="rId74" Type="http://schemas.openxmlformats.org/officeDocument/2006/relationships/hyperlink" Target="https://whc.unesco.org/en/list/1292/documents/" TargetMode="External"/><Relationship Id="rId75" Type="http://schemas.openxmlformats.org/officeDocument/2006/relationships/hyperlink" Target="https://whc.unesco.org/en/list/1279/" TargetMode="External"/><Relationship Id="rId76" Type="http://schemas.openxmlformats.org/officeDocument/2006/relationships/hyperlink" Target="https://whc.unesco.org/en/list/1279/documents/" TargetMode="External"/><Relationship Id="rId77" Type="http://schemas.openxmlformats.org/officeDocument/2006/relationships/hyperlink" Target="https://whc.unesco.org/en/list/1305/" TargetMode="External"/><Relationship Id="rId78" Type="http://schemas.openxmlformats.org/officeDocument/2006/relationships/hyperlink" Target="https://whc.unesco.org/en/list/1305/documents/" TargetMode="External"/><Relationship Id="rId79" Type="http://schemas.openxmlformats.org/officeDocument/2006/relationships/hyperlink" Target="https://whc.unesco.org/en/list/1335/" TargetMode="External"/><Relationship Id="rId80" Type="http://schemas.openxmlformats.org/officeDocument/2006/relationships/hyperlink" Target="https://whc.unesco.org/en/list/1335/documents/" TargetMode="External"/><Relationship Id="rId81" Type="http://schemas.openxmlformats.org/officeDocument/2006/relationships/hyperlink" Target="https://whc.unesco.org/en/list/1334/" TargetMode="External"/><Relationship Id="rId82" Type="http://schemas.openxmlformats.org/officeDocument/2006/relationships/hyperlink" Target="https://whc.unesco.org/en/list/1334/documents/" TargetMode="External"/><Relationship Id="rId83" Type="http://schemas.openxmlformats.org/officeDocument/2006/relationships/hyperlink" Target="https://whc.unesco.org/en/list/1388/" TargetMode="External"/><Relationship Id="rId84" Type="http://schemas.openxmlformats.org/officeDocument/2006/relationships/hyperlink" Target="https://whc.unesco.org/en/list/1388/documents/" TargetMode="External"/><Relationship Id="rId85" Type="http://schemas.openxmlformats.org/officeDocument/2006/relationships/hyperlink" Target="https://whc.unesco.org/en/list/1389/" TargetMode="External"/><Relationship Id="rId86" Type="http://schemas.openxmlformats.org/officeDocument/2006/relationships/hyperlink" Target="https://whc.unesco.org/en/list/1389/documents/" TargetMode="External"/><Relationship Id="rId87" Type="http://schemas.openxmlformats.org/officeDocument/2006/relationships/hyperlink" Target="https://whc.unesco.org/en/list/1111/" TargetMode="External"/><Relationship Id="rId88" Type="http://schemas.openxmlformats.org/officeDocument/2006/relationships/hyperlink" Target="https://whc.unesco.org/en/list/1111/documents/" TargetMode="External"/><Relationship Id="rId89" Type="http://schemas.openxmlformats.org/officeDocument/2006/relationships/hyperlink" Target="https://whc.unesco.org/en/list/1414/" TargetMode="External"/><Relationship Id="rId90" Type="http://schemas.openxmlformats.org/officeDocument/2006/relationships/hyperlink" Target="https://whc.unesco.org/en/list/1414/documents/" TargetMode="External"/><Relationship Id="rId91" Type="http://schemas.openxmlformats.org/officeDocument/2006/relationships/hyperlink" Target="https://whc.unesco.org/en/list/1442/" TargetMode="External"/><Relationship Id="rId92" Type="http://schemas.openxmlformats.org/officeDocument/2006/relationships/hyperlink" Target="https://whc.unesco.org/en/list/1442/documents/" TargetMode="External"/><Relationship Id="rId93" Type="http://schemas.openxmlformats.org/officeDocument/2006/relationships/hyperlink" Target="https://whc.unesco.org/en/list/1443/" TargetMode="External"/><Relationship Id="rId94" Type="http://schemas.openxmlformats.org/officeDocument/2006/relationships/hyperlink" Target="https://whc.unesco.org/en/list/1443/documents/" TargetMode="External"/><Relationship Id="rId95" Type="http://schemas.openxmlformats.org/officeDocument/2006/relationships/hyperlink" Target="https://whc.unesco.org/en/list/1474/" TargetMode="External"/><Relationship Id="rId96" Type="http://schemas.openxmlformats.org/officeDocument/2006/relationships/hyperlink" Target="https://whc.unesco.org/en/list/1474/documents/" TargetMode="External"/><Relationship Id="rId97" Type="http://schemas.openxmlformats.org/officeDocument/2006/relationships/hyperlink" Target="https://whc.unesco.org/en/list/1508/" TargetMode="External"/><Relationship Id="rId98" Type="http://schemas.openxmlformats.org/officeDocument/2006/relationships/hyperlink" Target="https://whc.unesco.org/en/list/1508/documents/" TargetMode="External"/><Relationship Id="rId99" Type="http://schemas.openxmlformats.org/officeDocument/2006/relationships/hyperlink" Target="https://whc.unesco.org/en/list/1509/" TargetMode="External"/><Relationship Id="rId100" Type="http://schemas.openxmlformats.org/officeDocument/2006/relationships/hyperlink" Target="https://whc.unesco.org/en/list/1509/documents/" TargetMode="External"/><Relationship Id="rId101" Type="http://schemas.openxmlformats.org/officeDocument/2006/relationships/hyperlink" Target="https://whc.unesco.org/en/list/1540/" TargetMode="External"/><Relationship Id="rId102" Type="http://schemas.openxmlformats.org/officeDocument/2006/relationships/hyperlink" Target="https://whc.unesco.org/en/list/1540/documents/" TargetMode="External"/><Relationship Id="rId103" Type="http://schemas.openxmlformats.org/officeDocument/2006/relationships/hyperlink" Target="https://whc.unesco.org/en/list/1541/" TargetMode="External"/><Relationship Id="rId104" Type="http://schemas.openxmlformats.org/officeDocument/2006/relationships/hyperlink" Target="https://whc.unesco.org/en/list/1541/documents/" TargetMode="External"/><Relationship Id="rId105" Type="http://schemas.openxmlformats.org/officeDocument/2006/relationships/hyperlink" Target="https://whc.unesco.org/en/list/1559/" TargetMode="External"/><Relationship Id="rId106" Type="http://schemas.openxmlformats.org/officeDocument/2006/relationships/hyperlink" Target="https://whc.unesco.org/en/list/1559/documents/" TargetMode="External"/><Relationship Id="rId107" Type="http://schemas.openxmlformats.org/officeDocument/2006/relationships/hyperlink" Target="https://whc.unesco.org/en/list/1592/" TargetMode="External"/><Relationship Id="rId108" Type="http://schemas.openxmlformats.org/officeDocument/2006/relationships/hyperlink" Target="https://whc.unesco.org/en/list/1592/documents/" TargetMode="External"/><Relationship Id="rId109" Type="http://schemas.openxmlformats.org/officeDocument/2006/relationships/hyperlink" Target="https://whc.unesco.org/en/list/1606/" TargetMode="External"/><Relationship Id="rId110" Type="http://schemas.openxmlformats.org/officeDocument/2006/relationships/hyperlink" Target="https://whc.unesco.org/en/list/1606/documents/" TargetMode="External"/><Relationship Id="rId111" Type="http://schemas.openxmlformats.org/officeDocument/2006/relationships/hyperlink" Target="https://whc.unesco.org/en/list/1561/" TargetMode="External"/><Relationship Id="rId112" Type="http://schemas.openxmlformats.org/officeDocument/2006/relationships/hyperlink" Target="https://whc.unesco.org/en/list/1561/documents/" TargetMode="External"/><Relationship Id="rId113" Type="http://schemas.openxmlformats.org/officeDocument/2006/relationships/hyperlink" Target="https://whc.unesco.org/en/list/1665/" TargetMode="External"/><Relationship Id="rId114" Type="http://schemas.openxmlformats.org/officeDocument/2006/relationships/hyperlink" Target="https://whc.unesco.org/en/list/1665/documents/" TargetMode="External"/><Relationship Id="rId115" Type="http://schemas.openxmlformats.org/officeDocument/2006/relationships/hyperlink" Target="https://whc.unesco.org/en/list/1638/" TargetMode="External"/><Relationship Id="rId116" Type="http://schemas.openxmlformats.org/officeDocument/2006/relationships/hyperlink" Target="https://whc.unesco.org/en/list/1638/documents/" TargetMode="External"/><Relationship Id="rId117" Type="http://schemas.openxmlformats.org/officeDocument/2006/relationships/hyperlink" Target="https://whc.unesco.org/en/list/1714/" TargetMode="External"/><Relationship Id="rId118" Type="http://schemas.openxmlformats.org/officeDocument/2006/relationships/hyperlink" Target="https://whc.unesco.org/en/list/1714/documents/" TargetMode="External"/><Relationship Id="rId119" Type="http://schemas.openxmlformats.org/officeDocument/2006/relationships/hyperlink" Target="https://whc.unesco.org/en/list/1736/" TargetMode="External"/><Relationship Id="rId120" Type="http://schemas.openxmlformats.org/officeDocument/2006/relationships/hyperlink" Target="https://whc.unesco.org/en/list/1736/documents/" TargetMode="External"/><Relationship Id="rId121" Type="http://schemas.openxmlformats.org/officeDocument/2006/relationships/hyperlink" Target="https://whc.unesco.org/en/list/1765/" TargetMode="External"/><Relationship Id="rId122" Type="http://schemas.openxmlformats.org/officeDocument/2006/relationships/hyperlink" Target="https://whc.unesco.org/en/list/1765/documents/" TargetMode="External"/><Relationship Id="rId123"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hc.unesco.org/en/tentativelists/105/" TargetMode="External"/><Relationship Id="rId2" Type="http://schemas.openxmlformats.org/officeDocument/2006/relationships/hyperlink" Target="https://whc.unesco.org/en/tentativelists/106/" TargetMode="External"/><Relationship Id="rId3" Type="http://schemas.openxmlformats.org/officeDocument/2006/relationships/hyperlink" Target="https://whc.unesco.org/en/tentativelists/107/" TargetMode="External"/><Relationship Id="rId4" Type="http://schemas.openxmlformats.org/officeDocument/2006/relationships/hyperlink" Target="https://whc.unesco.org/en/tentativelists/108/" TargetMode="External"/><Relationship Id="rId5" Type="http://schemas.openxmlformats.org/officeDocument/2006/relationships/hyperlink" Target="https://whc.unesco.org/en/tentativelists/1622/" TargetMode="External"/><Relationship Id="rId6" Type="http://schemas.openxmlformats.org/officeDocument/2006/relationships/hyperlink" Target="https://whc.unesco.org/en/tentativelists/1623/" TargetMode="External"/><Relationship Id="rId7" Type="http://schemas.openxmlformats.org/officeDocument/2006/relationships/hyperlink" Target="https://whc.unesco.org/en/tentativelists/1624/" TargetMode="External"/><Relationship Id="rId8" Type="http://schemas.openxmlformats.org/officeDocument/2006/relationships/hyperlink" Target="https://whc.unesco.org/en/tentativelists/1625/" TargetMode="External"/><Relationship Id="rId9" Type="http://schemas.openxmlformats.org/officeDocument/2006/relationships/hyperlink" Target="https://whc.unesco.org/en/tentativelists/1626/" TargetMode="External"/><Relationship Id="rId10" Type="http://schemas.openxmlformats.org/officeDocument/2006/relationships/hyperlink" Target="https://whc.unesco.org/en/tentativelists/1627/" TargetMode="External"/><Relationship Id="rId11" Type="http://schemas.openxmlformats.org/officeDocument/2006/relationships/hyperlink" Target="https://whc.unesco.org/en/tentativelists/1629/" TargetMode="External"/><Relationship Id="rId12" Type="http://schemas.openxmlformats.org/officeDocument/2006/relationships/hyperlink" Target="https://whc.unesco.org/en/tentativelists/1631/" TargetMode="External"/><Relationship Id="rId13" Type="http://schemas.openxmlformats.org/officeDocument/2006/relationships/hyperlink" Target="https://whc.unesco.org/en/tentativelists/1632/" TargetMode="External"/><Relationship Id="rId14" Type="http://schemas.openxmlformats.org/officeDocument/2006/relationships/hyperlink" Target="https://whc.unesco.org/en/tentativelists/1633/" TargetMode="External"/><Relationship Id="rId15" Type="http://schemas.openxmlformats.org/officeDocument/2006/relationships/hyperlink" Target="https://whc.unesco.org/en/tentativelists/1634/" TargetMode="External"/><Relationship Id="rId16" Type="http://schemas.openxmlformats.org/officeDocument/2006/relationships/hyperlink" Target="https://whc.unesco.org/en/tentativelists/5320/" TargetMode="External"/><Relationship Id="rId17" Type="http://schemas.openxmlformats.org/officeDocument/2006/relationships/hyperlink" Target="https://whc.unesco.org/en/tentativelists/5322/" TargetMode="External"/><Relationship Id="rId18" Type="http://schemas.openxmlformats.org/officeDocument/2006/relationships/hyperlink" Target="https://whc.unesco.org/en/tentativelists/5324/" TargetMode="External"/><Relationship Id="rId19" Type="http://schemas.openxmlformats.org/officeDocument/2006/relationships/hyperlink" Target="https://whc.unesco.org/en/tentativelists/5327/" TargetMode="External"/><Relationship Id="rId20" Type="http://schemas.openxmlformats.org/officeDocument/2006/relationships/hyperlink" Target="https://whc.unesco.org/en/tentativelists/5328/" TargetMode="External"/><Relationship Id="rId21" Type="http://schemas.openxmlformats.org/officeDocument/2006/relationships/hyperlink" Target="https://whc.unesco.org/en/tentativelists/5335/" TargetMode="External"/><Relationship Id="rId22" Type="http://schemas.openxmlformats.org/officeDocument/2006/relationships/hyperlink" Target="https://whc.unesco.org/en/tentativelists/5337/" TargetMode="External"/><Relationship Id="rId23" Type="http://schemas.openxmlformats.org/officeDocument/2006/relationships/hyperlink" Target="https://whc.unesco.org/en/tentativelists/5338/" TargetMode="External"/><Relationship Id="rId24" Type="http://schemas.openxmlformats.org/officeDocument/2006/relationships/hyperlink" Target="https://whc.unesco.org/en/tentativelists/5341/" TargetMode="External"/><Relationship Id="rId25" Type="http://schemas.openxmlformats.org/officeDocument/2006/relationships/hyperlink" Target="https://whc.unesco.org/en/tentativelists/5344/" TargetMode="External"/><Relationship Id="rId26" Type="http://schemas.openxmlformats.org/officeDocument/2006/relationships/hyperlink" Target="https://whc.unesco.org/en/tentativelists/5347/" TargetMode="External"/><Relationship Id="rId27" Type="http://schemas.openxmlformats.org/officeDocument/2006/relationships/hyperlink" Target="https://whc.unesco.org/en/tentativelists/5351/" TargetMode="External"/><Relationship Id="rId28" Type="http://schemas.openxmlformats.org/officeDocument/2006/relationships/hyperlink" Target="https://whc.unesco.org/en/tentativelists/5353/" TargetMode="External"/><Relationship Id="rId29" Type="http://schemas.openxmlformats.org/officeDocument/2006/relationships/hyperlink" Target="https://whc.unesco.org/en/tentativelists/5532/" TargetMode="External"/><Relationship Id="rId30" Type="http://schemas.openxmlformats.org/officeDocument/2006/relationships/hyperlink" Target="https://whc.unesco.org/en/tentativelists/5533/" TargetMode="External"/><Relationship Id="rId31" Type="http://schemas.openxmlformats.org/officeDocument/2006/relationships/hyperlink" Target="https://whc.unesco.org/en/tentativelists/5535/" TargetMode="External"/><Relationship Id="rId32" Type="http://schemas.openxmlformats.org/officeDocument/2006/relationships/hyperlink" Target="https://whc.unesco.org/en/tentativelists/5803/" TargetMode="External"/><Relationship Id="rId33" Type="http://schemas.openxmlformats.org/officeDocument/2006/relationships/hyperlink" Target="https://whc.unesco.org/en/tentativelists/5804/" TargetMode="External"/><Relationship Id="rId34" Type="http://schemas.openxmlformats.org/officeDocument/2006/relationships/hyperlink" Target="https://whc.unesco.org/en/tentativelists/5806/" TargetMode="External"/><Relationship Id="rId35" Type="http://schemas.openxmlformats.org/officeDocument/2006/relationships/hyperlink" Target="https://whc.unesco.org/en/tentativelists/5808/" TargetMode="External"/><Relationship Id="rId36" Type="http://schemas.openxmlformats.org/officeDocument/2006/relationships/hyperlink" Target="https://whc.unesco.org/en/tentativelists/5813/" TargetMode="External"/><Relationship Id="rId37" Type="http://schemas.openxmlformats.org/officeDocument/2006/relationships/hyperlink" Target="https://whc.unesco.org/en/tentativelists/5814/" TargetMode="External"/><Relationship Id="rId38" Type="http://schemas.openxmlformats.org/officeDocument/2006/relationships/hyperlink" Target="https://whc.unesco.org/en/tentativelists/5815/" TargetMode="External"/><Relationship Id="rId39" Type="http://schemas.openxmlformats.org/officeDocument/2006/relationships/hyperlink" Target="https://whc.unesco.org/en/tentativelists/5816/" TargetMode="External"/><Relationship Id="rId40" Type="http://schemas.openxmlformats.org/officeDocument/2006/relationships/hyperlink" Target="https://whc.unesco.org/en/tentativelists/5989/" TargetMode="External"/><Relationship Id="rId41" Type="http://schemas.openxmlformats.org/officeDocument/2006/relationships/hyperlink" Target="https://whc.unesco.org/en/tentativelists/5990/" TargetMode="External"/><Relationship Id="rId42" Type="http://schemas.openxmlformats.org/officeDocument/2006/relationships/hyperlink" Target="https://whc.unesco.org/en/tentativelists/5992/" TargetMode="External"/><Relationship Id="rId43" Type="http://schemas.openxmlformats.org/officeDocument/2006/relationships/hyperlink" Target="https://whc.unesco.org/en/tentativelists/5993/" TargetMode="External"/><Relationship Id="rId44" Type="http://schemas.openxmlformats.org/officeDocument/2006/relationships/hyperlink" Target="https://whc.unesco.org/en/tentativelists/5994/" TargetMode="External"/><Relationship Id="rId45" Type="http://schemas.openxmlformats.org/officeDocument/2006/relationships/hyperlink" Target="https://whc.unesco.org/en/tentativelists/5995/" TargetMode="External"/><Relationship Id="rId46" Type="http://schemas.openxmlformats.org/officeDocument/2006/relationships/hyperlink" Target="https://whc.unesco.org/en/tentativelists/6093/" TargetMode="External"/><Relationship Id="rId47" Type="http://schemas.openxmlformats.org/officeDocument/2006/relationships/hyperlink" Target="https://whc.unesco.org/en/tentativelists/6184/" TargetMode="External"/><Relationship Id="rId48" Type="http://schemas.openxmlformats.org/officeDocument/2006/relationships/hyperlink" Target="https://whc.unesco.org/en/tentativelists/6185/" TargetMode="External"/><Relationship Id="rId49" Type="http://schemas.openxmlformats.org/officeDocument/2006/relationships/hyperlink" Target="https://whc.unesco.org/en/tentativelists/6186/" TargetMode="External"/><Relationship Id="rId50" Type="http://schemas.openxmlformats.org/officeDocument/2006/relationships/hyperlink" Target="https://whc.unesco.org/en/tentativelists/6187/" TargetMode="External"/><Relationship Id="rId51" Type="http://schemas.openxmlformats.org/officeDocument/2006/relationships/hyperlink" Target="https://whc.unesco.org/en/tentativelists/6188/" TargetMode="External"/><Relationship Id="rId52" Type="http://schemas.openxmlformats.org/officeDocument/2006/relationships/hyperlink" Target="https://whc.unesco.org/en/tentativelists/6190/" TargetMode="External"/><Relationship Id="rId53" Type="http://schemas.openxmlformats.org/officeDocument/2006/relationships/hyperlink" Target="https://whc.unesco.org/en/tentativelists/6380/" TargetMode="External"/><Relationship Id="rId54" Type="http://schemas.openxmlformats.org/officeDocument/2006/relationships/hyperlink" Target="https://whc.unesco.org/en/tentativelists/6381/" TargetMode="External"/><Relationship Id="rId55" Type="http://schemas.openxmlformats.org/officeDocument/2006/relationships/hyperlink" Target="https://whc.unesco.org/en/tentativelists/6582/" TargetMode="External"/><Relationship Id="rId56" Type="http://schemas.openxmlformats.org/officeDocument/2006/relationships/hyperlink" Target="https://whc.unesco.org/en/tentativelists/6619/" TargetMode="External"/><Relationship Id="rId57" Type="http://schemas.openxmlformats.org/officeDocument/2006/relationships/hyperlink" Target="https://whc.unesco.org/en/tentativelists/6768/" TargetMode="External"/><Relationship Id="rId58" Type="http://schemas.openxmlformats.org/officeDocument/2006/relationships/hyperlink" Target="https://whc.unesco.org/en/tentativelists/6840/" TargetMode="External"/><Relationship Id="rId59" Type="http://schemas.openxmlformats.org/officeDocument/2006/relationships/hyperlink" Target="https://whc.unesco.org/en/tentativelists/6841/" TargetMode="External"/><Relationship Id="rId60" Type="http://schemas.openxmlformats.org/officeDocument/2006/relationships/hyperlink" Target="https://whc.unesco.org/en/tentativelists/7021/" TargetMode="External"/><Relationship Id="rId6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hc.unesco.org/en/list/1223/" TargetMode="External"/><Relationship Id="rId2" Type="http://schemas.openxmlformats.org/officeDocument/2006/relationships/hyperlink" Target="https://whc.unesco.org/en/list/948/" TargetMode="External"/><Relationship Id="rId3" Type="http://schemas.openxmlformats.org/officeDocument/2006/relationships/hyperlink" Target="https://whc.unesco.org/en/list/1610/" TargetMode="External"/><Relationship Id="rId4" Type="http://schemas.openxmlformats.org/officeDocument/2006/relationships/hyperlink" Target="https://whc.unesco.org/en/list/502/" TargetMode="External"/><Relationship Id="rId5" Type="http://schemas.openxmlformats.org/officeDocument/2006/relationships/hyperlink" Target="https://whc.unesco.org/en/list/677/" TargetMode="External"/><Relationship Id="rId6" Type="http://schemas.openxmlformats.org/officeDocument/2006/relationships/hyperlink" Target="https://whc.unesco.org/en/list/1328/" TargetMode="External"/><Relationship Id="rId7" Type="http://schemas.openxmlformats.org/officeDocument/2006/relationships/hyperlink" Target="https://whc.unesco.org/en/list/1091/" TargetMode="External"/><Relationship Id="rId8" Type="http://schemas.openxmlformats.org/officeDocument/2006/relationships/hyperlink" Target="https://whc.unesco.org/en/list/1537/" TargetMode="External"/><Relationship Id="rId9" Type="http://schemas.openxmlformats.org/officeDocument/2006/relationships/hyperlink" Target="https://whc.unesco.org/en/list/144/" TargetMode="External"/><Relationship Id="rId10" Type="http://schemas.openxmlformats.org/officeDocument/2006/relationships/hyperlink" Target="https://whc.unesco.org/en/list/365/" TargetMode="External"/><Relationship Id="rId11" Type="http://schemas.openxmlformats.org/officeDocument/2006/relationships/hyperlink" Target="https://whc.unesco.org/en/list/1246/" TargetMode="External"/><Relationship Id="rId12" Type="http://schemas.openxmlformats.org/officeDocument/2006/relationships/hyperlink" Target="https://whc.unesco.org/en/list/972/" TargetMode="External"/><Relationship Id="rId13" Type="http://schemas.openxmlformats.org/officeDocument/2006/relationships/hyperlink" Target="https://whc.unesco.org/en/list/660/" TargetMode="External"/><Relationship Id="rId14" Type="http://schemas.openxmlformats.org/officeDocument/2006/relationships/hyperlink" Target="https://whc.unesco.org/en/list/688/" TargetMode="External"/><Relationship Id="rId15" Type="http://schemas.openxmlformats.org/officeDocument/2006/relationships/hyperlink" Target="https://whc.unesco.org/en/list/870/" TargetMode="External"/><Relationship Id="rId16" Type="http://schemas.openxmlformats.org/officeDocument/2006/relationships/hyperlink" Target="https://whc.unesco.org/en/list/1142/" TargetMode="External"/><Relationship Id="rId17" Type="http://schemas.openxmlformats.org/officeDocument/2006/relationships/hyperlink" Target="https://whc.unesco.org/en/list/1757/" TargetMode="External"/><Relationship Id="rId18" Type="http://schemas.openxmlformats.org/officeDocument/2006/relationships/hyperlink" Target="https://whc.unesco.org/en/list/1477/" TargetMode="External"/><Relationship Id="rId19" Type="http://schemas.openxmlformats.org/officeDocument/2006/relationships/hyperlink" Target="https://whc.unesco.org/en/list/1498/" TargetMode="External"/><Relationship Id="rId20" Type="http://schemas.openxmlformats.org/officeDocument/2006/relationships/hyperlink" Target="https://whc.unesco.org/en/list/1439/" TargetMode="External"/><Relationship Id="rId21" Type="http://schemas.openxmlformats.org/officeDocument/2006/relationships/hyperlink" Target="https://whc.unesco.org/en/list/559/" TargetMode="External"/><Relationship Id="rId22" Type="http://schemas.openxmlformats.org/officeDocument/2006/relationships/hyperlink" Target="https://whc.unesco.org/en/list/1759/" TargetMode="External"/><Relationship Id="rId23" Type="http://schemas.openxmlformats.org/officeDocument/2006/relationships/hyperlink" Target="https://whc.unesco.org/en/list/1675/" TargetMode="External"/><Relationship Id="rId24" Type="http://schemas.openxmlformats.org/officeDocument/2006/relationships/hyperlink" Target="https://whc.unesco.org/en/list/1346/" TargetMode="External"/><Relationship Id="rId25" Type="http://schemas.openxmlformats.org/officeDocument/2006/relationships/hyperlink" Target="https://whc.unesco.org/en/list/1544/" TargetMode="External"/><Relationship Id="rId26" Type="http://schemas.openxmlformats.org/officeDocument/2006/relationships/hyperlink" Target="https://whc.unesco.org/en/list/1230/" TargetMode="External"/><Relationship Id="rId27" Type="http://schemas.openxmlformats.org/officeDocument/2006/relationships/hyperlink" Target="https://whc.unesco.org/en/list/1627/" TargetMode="External"/><Relationship Id="rId28" Type="http://schemas.openxmlformats.org/officeDocument/2006/relationships/hyperlink" Target="https://whc.unesco.org/en/list/1518/" TargetMode="External"/><Relationship Id="rId29" Type="http://schemas.openxmlformats.org/officeDocument/2006/relationships/hyperlink" Target="https://whc.unesco.org/en/list/208/" TargetMode="External"/><Relationship Id="rId30" Type="http://schemas.openxmlformats.org/officeDocument/2006/relationships/hyperlink" Target="https://whc.unesco.org/en/list/1448/" TargetMode="External"/><Relationship Id="rId31" Type="http://schemas.openxmlformats.org/officeDocument/2006/relationships/hyperlink" Target="https://whc.unesco.org/en/list/340/" TargetMode="External"/><Relationship Id="rId32" Type="http://schemas.openxmlformats.org/officeDocument/2006/relationships/hyperlink" Target="https://whc.unesco.org/en/list/1012/" TargetMode="External"/><Relationship Id="rId33" Type="http://schemas.openxmlformats.org/officeDocument/2006/relationships/hyperlink" Target="https://whc.unesco.org/en/list/1574/" TargetMode="External"/><Relationship Id="rId34"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ich.unesco.org/en/RL/ong-chun-wangchuan-wangkang-ceremony-rituals-and-related-practices-for-maintaining-the-sustainable-connection-between-man-and-the-ocean-01608" TargetMode="External"/><Relationship Id="rId2" Type="http://schemas.openxmlformats.org/officeDocument/2006/relationships/hyperlink" Target="https://ich.unesco.org/en/RL/urtiin-duu-traditional-folk-long-song-00115" TargetMode="External"/><Relationship Id="rId3" Type="http://schemas.openxmlformats.org/officeDocument/2006/relationships/hyperlink" Target="https://ich.unesco.org/en/RL/mongolian-art-of-singing-khoomei-00210" TargetMode="External"/><Relationship Id="rId4" Type="http://schemas.openxmlformats.org/officeDocument/2006/relationships/hyperlink" Target="https://ich.unesco.org/en/state/china-CN?info=elements-on-the-lists" TargetMode="External"/><Relationship Id="rId5" Type="http://schemas.openxmlformats.org/officeDocument/2006/relationships/hyperlink" Target="https://ich.unesco.org/en/state/china-CN?info=elements-on-the-lists" TargetMode="External"/><Relationship Id="rId6" Type="http://schemas.openxmlformats.org/officeDocument/2006/relationships/hyperlink" Target="https://ich.unesco.org/en/state/china-CN?info=elements-on-the-lists" TargetMode="External"/><Relationship Id="rId7" Type="http://schemas.openxmlformats.org/officeDocument/2006/relationships/hyperlink" Target="https://www.unesco.org/en/memory-world/qiaopi-and-yinxin-correspondence-and-remittance-documents-overseas-chinese" TargetMode="External"/><Relationship Id="rId8" Type="http://schemas.openxmlformats.org/officeDocument/2006/relationships/hyperlink" Target="https://en.unesco.org/silkroad" TargetMode="External"/><Relationship Id="rId9" Type="http://schemas.openxmlformats.org/officeDocument/2006/relationships/hyperlink" Target="https://southsouth-galaxy.org/solution/safeguarding-world-heritage-along-the-silk-roads/" TargetMode="External"/><Relationship Id="rId10" Type="http://schemas.openxmlformats.org/officeDocument/2006/relationships/hyperlink" Target="https://whitrap.pku.edu.cn/About_us/Introduction_Center.htm" TargetMode="External"/><Relationship Id="rId1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whc.unesco.org/uploads/nominations/1442.pdf" TargetMode="External"/><Relationship Id="rId2" Type="http://schemas.openxmlformats.org/officeDocument/2006/relationships/hyperlink" Target="https://whc.unesco.org/document/152690" TargetMode="External"/><Relationship Id="rId3" Type="http://schemas.openxmlformats.org/officeDocument/2006/relationships/hyperlink" Target="https://whc.unesco.org/document/132728" TargetMode="External"/><Relationship Id="rId4" Type="http://schemas.openxmlformats.org/officeDocument/2006/relationships/hyperlink" Target="https://whc.unesco.org/en/decisions/6110" TargetMode="External"/><Relationship Id="rId5" Type="http://schemas.openxmlformats.org/officeDocument/2006/relationships/hyperlink" Target="https://whc.unesco.org/en/decisions/6699" TargetMode="External"/><Relationship Id="rId6" Type="http://schemas.openxmlformats.org/officeDocument/2006/relationships/hyperlink" Target="https://whc.unesco.org/en/decisions/7087" TargetMode="External"/><Relationship Id="rId7" Type="http://schemas.openxmlformats.org/officeDocument/2006/relationships/hyperlink" Target="https://whc.unesco.org/en/decisions/7234" TargetMode="External"/><Relationship Id="rId8" Type="http://schemas.openxmlformats.org/officeDocument/2006/relationships/hyperlink" Target="https://whc.unesco.org/en/decisions/7740" TargetMode="External"/><Relationship Id="rId9" Type="http://schemas.openxmlformats.org/officeDocument/2006/relationships/hyperlink" Target="https://whc.unesco.org/en/decisions/8160" TargetMode="External"/><Relationship Id="rId10" Type="http://schemas.openxmlformats.org/officeDocument/2006/relationships/hyperlink" Target="https://whc.unesco.org/en/decisions/8791" TargetMode="External"/><Relationship Id="rId11" Type="http://schemas.openxmlformats.org/officeDocument/2006/relationships/hyperlink" Target="https://whc.unesco.org/document/142401" TargetMode="External"/><Relationship Id="rId12" Type="http://schemas.openxmlformats.org/officeDocument/2006/relationships/hyperlink" Target="https://whc.unesco.org/document/158586" TargetMode="External"/><Relationship Id="rId13" Type="http://schemas.openxmlformats.org/officeDocument/2006/relationships/hyperlink" Target="https://whc.unesco.org/document/217919" TargetMode="External"/><Relationship Id="rId14" Type="http://schemas.openxmlformats.org/officeDocument/2006/relationships/hyperlink" Target="https://whc.unesco.org/document/218280" TargetMode="External"/><Relationship Id="rId15" Type="http://schemas.openxmlformats.org/officeDocument/2006/relationships/hyperlink" Target="https://whc.unesco.org/document/180694" TargetMode="External"/><Relationship Id="rId16" Type="http://schemas.openxmlformats.org/officeDocument/2006/relationships/hyperlink" Target="https://whc.unesco.org/document/166338" TargetMode="External"/><Relationship Id="rId17" Type="http://schemas.openxmlformats.org/officeDocument/2006/relationships/hyperlink" Target="https://whc.unesco.org/document/156862" TargetMode="External"/><Relationship Id="rId18" Type="http://schemas.openxmlformats.org/officeDocument/2006/relationships/hyperlink" Target="https://whc.unesco.org/document/165239" TargetMode="External"/><Relationship Id="rId19" Type="http://schemas.openxmlformats.org/officeDocument/2006/relationships/hyperlink" Target="https://whc.unesco.org/document/139846" TargetMode="External"/><Relationship Id="rId20" Type="http://schemas.openxmlformats.org/officeDocument/2006/relationships/hyperlink" Target="https://whc.unesco.org/document/139897" TargetMode="External"/><Relationship Id="rId21" Type="http://schemas.openxmlformats.org/officeDocument/2006/relationships/hyperlink" Target="https://whc.unesco.org/document/139854" TargetMode="External"/><Relationship Id="rId22"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whc.unesco.org/en/list/xml/" TargetMode="External"/><Relationship Id="rId2" Type="http://schemas.openxmlformats.org/officeDocument/2006/relationships/hyperlink" Target="https://whc.unesco.org/zh/list/xml/" TargetMode="External"/><Relationship Id="rId3" Type="http://schemas.openxmlformats.org/officeDocument/2006/relationships/hyperlink" Target="https://whc.unesco.org/en/syndication" TargetMode="External"/><Relationship Id="rId4" Type="http://schemas.openxmlformats.org/officeDocument/2006/relationships/hyperlink" Target="https://whc.unesco.org/en/list/1223/" TargetMode="External"/><Relationship Id="rId5" Type="http://schemas.openxmlformats.org/officeDocument/2006/relationships/hyperlink" Target="https://whc.unesco.org/en/list/1442/documents/" TargetMode="External"/><Relationship Id="rId6" Type="http://schemas.openxmlformats.org/officeDocument/2006/relationships/hyperlink" Target="https://whc.unesco.org/en/statesparties/cn" TargetMode="External"/><Relationship Id="rId7" Type="http://schemas.openxmlformats.org/officeDocument/2006/relationships/hyperlink" Target="https://whc.unesco.org/en/decisions/" TargetMode="External"/><Relationship Id="rId8" Type="http://schemas.openxmlformats.org/officeDocument/2006/relationships/hyperlink" Target="https://ich.unesco.org/en/state/china-CN?info=elements-on-the-lists" TargetMode="External"/><Relationship Id="rId9" Type="http://schemas.openxmlformats.org/officeDocument/2006/relationships/hyperlink" Target="https://www.unesco.org/en/memory-world" TargetMode="External"/><Relationship Id="rId10" Type="http://schemas.openxmlformats.org/officeDocument/2006/relationships/hyperlink" Target="https://www.wikidata.org/" TargetMode="External"/><Relationship Id="rId1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c r="B5" s="4" t="n">
        <f aca="false">COUNTA('China WH List'!A2:A200)</f>
        <v>61</v>
      </c>
    </row>
    <row r="6" customFormat="false" ht="15" hidden="false" customHeight="false" outlineLevel="0" collapsed="false">
      <c r="A6" s="2" t="s">
        <v>4</v>
      </c>
      <c r="B6" s="4" t="n">
        <f aca="false">COUNTIF('China WH List'!D2:D200,"Cultural")</f>
        <v>42</v>
      </c>
    </row>
    <row r="7" customFormat="false" ht="15" hidden="false" customHeight="false" outlineLevel="0" collapsed="false">
      <c r="A7" s="2" t="s">
        <v>5</v>
      </c>
      <c r="B7" s="4" t="n">
        <f aca="false">COUNTIF('China WH List'!D2:D200,"Natural")</f>
        <v>15</v>
      </c>
    </row>
    <row r="8" customFormat="false" ht="15" hidden="false" customHeight="false" outlineLevel="0" collapsed="false">
      <c r="A8" s="2" t="s">
        <v>6</v>
      </c>
      <c r="B8" s="4" t="n">
        <f aca="false">COUNTIF('China WH List'!D2:D200,"Mixed")</f>
        <v>4</v>
      </c>
    </row>
    <row r="9" customFormat="false" ht="15" hidden="false" customHeight="false" outlineLevel="0" collapsed="false">
      <c r="A9" s="2" t="s">
        <v>7</v>
      </c>
      <c r="B9" s="4" t="n">
        <f aca="false">COUNTIF('China WH List'!H2:H200,"Yes")</f>
        <v>1</v>
      </c>
    </row>
    <row r="10" customFormat="false" ht="15" hidden="false" customHeight="false" outlineLevel="0" collapsed="false">
      <c r="A10" s="2" t="s">
        <v>8</v>
      </c>
      <c r="B10" s="4" t="n">
        <f aca="false">COUNTIF('China WH List'!M2:M200,"?*")</f>
        <v>9</v>
      </c>
    </row>
    <row r="11" customFormat="false" ht="15" hidden="false" customHeight="false" outlineLevel="0" collapsed="false">
      <c r="A11" s="2" t="s">
        <v>9</v>
      </c>
      <c r="B11" s="4" t="n">
        <f aca="false">COUNTA('China Tentative List'!A2:A200)</f>
        <v>60</v>
      </c>
    </row>
    <row r="12" customFormat="false" ht="15" hidden="false" customHeight="false" outlineLevel="0" collapsed="false">
      <c r="A12" s="2" t="s">
        <v>10</v>
      </c>
      <c r="B12" s="4" t="n">
        <f aca="false">COUNTIF('China Tentative List'!D2:D200,"?*")</f>
        <v>2</v>
      </c>
    </row>
    <row r="13" customFormat="false" ht="15" hidden="false" customHeight="false" outlineLevel="0" collapsed="false">
      <c r="A13" s="2" t="s">
        <v>11</v>
      </c>
      <c r="B13" s="4" t="n">
        <f aca="false">COUNTA('Sites Abroad Linked to China'!A2:A200)</f>
        <v>33</v>
      </c>
    </row>
    <row r="14" customFormat="false" ht="15" hidden="false" customHeight="false" outlineLevel="0" collapsed="false">
      <c r="A14" s="2" t="s">
        <v>12</v>
      </c>
      <c r="B14" s="4" t="n">
        <f aca="false">COUNTA('Sites Abroad Linked to China'!A2:A200)-COUNTIF('Sites Abroad Linked to China'!H2:H200,"Geographic mention only")</f>
        <v>29</v>
      </c>
    </row>
    <row r="15" customFormat="false" ht="15" hidden="false" customHeight="false" outlineLevel="0" collapsed="false">
      <c r="A15" s="2"/>
    </row>
    <row r="16" customFormat="false" ht="15" hidden="false" customHeight="false" outlineLevel="0" collapsed="false">
      <c r="A16" s="3" t="s">
        <v>13</v>
      </c>
    </row>
    <row r="17" customFormat="false" ht="23.85" hidden="false" customHeight="false" outlineLevel="0" collapsed="false">
      <c r="A17" s="2" t="s">
        <v>14</v>
      </c>
      <c r="B17" s="4" t="s">
        <v>15</v>
      </c>
    </row>
    <row r="18" customFormat="false" ht="15" hidden="false" customHeight="false" outlineLevel="0" collapsed="false">
      <c r="A18" s="2" t="s">
        <v>16</v>
      </c>
      <c r="B18" s="4" t="s">
        <v>17</v>
      </c>
    </row>
    <row r="19" customFormat="false" ht="23.85" hidden="false" customHeight="false" outlineLevel="0" collapsed="false">
      <c r="A19" s="2" t="s">
        <v>18</v>
      </c>
      <c r="B19" s="4" t="s">
        <v>19</v>
      </c>
    </row>
    <row r="20" customFormat="false" ht="15" hidden="false" customHeight="false" outlineLevel="0" collapsed="false">
      <c r="A20" s="2" t="s">
        <v>20</v>
      </c>
      <c r="B20" s="4" t="s">
        <v>21</v>
      </c>
    </row>
    <row r="21" customFormat="false" ht="15" hidden="false" customHeight="false" outlineLevel="0" collapsed="false">
      <c r="A21" s="2" t="s">
        <v>22</v>
      </c>
      <c r="B21" s="4" t="s">
        <v>23</v>
      </c>
    </row>
    <row r="22" customFormat="false" ht="15" hidden="false" customHeight="false" outlineLevel="0" collapsed="false">
      <c r="A22" s="2" t="s">
        <v>24</v>
      </c>
      <c r="B22" s="4" t="s">
        <v>25</v>
      </c>
    </row>
    <row r="23" customFormat="false" ht="15" hidden="false" customHeight="false" outlineLevel="0" collapsed="false">
      <c r="A23" s="2"/>
    </row>
    <row r="24" customFormat="false" ht="15" hidden="false" customHeight="false" outlineLevel="0" collapsed="false">
      <c r="A24" s="3" t="s">
        <v>26</v>
      </c>
    </row>
    <row r="25" customFormat="false" ht="15" hidden="false" customHeight="false" outlineLevel="0" collapsed="false">
      <c r="A25" s="2" t="s">
        <v>27</v>
      </c>
      <c r="B25" s="4" t="s">
        <v>28</v>
      </c>
    </row>
    <row r="26" customFormat="false" ht="15" hidden="false" customHeight="false" outlineLevel="0" collapsed="false">
      <c r="A26" s="2" t="s">
        <v>29</v>
      </c>
      <c r="B26" s="4" t="s">
        <v>30</v>
      </c>
    </row>
    <row r="27" customFormat="false" ht="15" hidden="false" customHeight="false" outlineLevel="0" collapsed="false">
      <c r="A27" s="2"/>
    </row>
    <row r="28" customFormat="false" ht="35.05" hidden="false" customHeight="false" outlineLevel="0" collapsed="false">
      <c r="A28" s="2" t="s">
        <v>31</v>
      </c>
      <c r="B28" s="4"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2"/>
    <col collapsed="false" customWidth="true" hidden="false" outlineLevel="0" max="3" min="3" style="0" width="26"/>
    <col collapsed="false" customWidth="true" hidden="false" outlineLevel="0" max="4" min="4" style="0" width="10"/>
    <col collapsed="false" customWidth="true" hidden="false" outlineLevel="0" max="5" min="5" style="0" width="16"/>
    <col collapsed="false" customWidth="true" hidden="false" outlineLevel="0" max="6" min="6" style="0" width="9"/>
    <col collapsed="false" customWidth="true" hidden="false" outlineLevel="0" max="8" min="7" style="0" width="11"/>
    <col collapsed="false" customWidth="true" hidden="false" outlineLevel="0" max="9" min="9" style="0" width="20"/>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60"/>
    <col collapsed="false" customWidth="true" hidden="false" outlineLevel="0" max="15" min="15" style="0" width="30"/>
    <col collapsed="false" customWidth="true" hidden="false" outlineLevel="0" max="16" min="16" style="0" width="34"/>
    <col collapsed="false" customWidth="true" hidden="false" outlineLevel="0" max="17" min="17" style="0" width="26"/>
    <col collapsed="false" customWidth="true" hidden="false" outlineLevel="0" max="18" min="18" style="0" width="14"/>
  </cols>
  <sheetData>
    <row r="1" customFormat="false" ht="31.5" hidden="false" customHeight="true" outlineLevel="0" collapsed="false">
      <c r="A1" s="5" t="s">
        <v>33</v>
      </c>
      <c r="B1" s="5" t="s">
        <v>34</v>
      </c>
      <c r="C1" s="5" t="s">
        <v>35</v>
      </c>
      <c r="D1" s="5" t="s">
        <v>36</v>
      </c>
      <c r="E1" s="5" t="s">
        <v>37</v>
      </c>
      <c r="F1" s="5" t="s">
        <v>38</v>
      </c>
      <c r="G1" s="5" t="s">
        <v>39</v>
      </c>
      <c r="H1" s="5" t="s">
        <v>40</v>
      </c>
      <c r="I1" s="5" t="s">
        <v>41</v>
      </c>
      <c r="J1" s="5" t="s">
        <v>42</v>
      </c>
      <c r="K1" s="5" t="s">
        <v>43</v>
      </c>
      <c r="L1" s="5" t="s">
        <v>44</v>
      </c>
      <c r="M1" s="5" t="s">
        <v>45</v>
      </c>
      <c r="N1" s="5" t="s">
        <v>46</v>
      </c>
      <c r="O1" s="5" t="s">
        <v>47</v>
      </c>
      <c r="P1" s="5" t="s">
        <v>48</v>
      </c>
      <c r="Q1" s="5" t="s">
        <v>49</v>
      </c>
      <c r="R1" s="5" t="s">
        <v>50</v>
      </c>
    </row>
    <row r="2" customFormat="false" ht="23.85" hidden="false" customHeight="false" outlineLevel="0" collapsed="false">
      <c r="A2" s="4" t="n">
        <v>437</v>
      </c>
      <c r="B2" s="4" t="s">
        <v>51</v>
      </c>
      <c r="C2" s="6" t="s">
        <v>52</v>
      </c>
      <c r="D2" s="4" t="s">
        <v>53</v>
      </c>
      <c r="E2" s="4" t="s">
        <v>54</v>
      </c>
      <c r="F2" s="6" t="n">
        <v>1987</v>
      </c>
      <c r="G2" s="6"/>
      <c r="H2" s="4" t="s">
        <v>55</v>
      </c>
      <c r="I2" s="6"/>
      <c r="J2" s="6" t="n">
        <v>1</v>
      </c>
      <c r="K2" s="6" t="n">
        <v>36.26667</v>
      </c>
      <c r="L2" s="6" t="n">
        <v>117.1</v>
      </c>
      <c r="M2" s="6"/>
      <c r="N2" s="6"/>
      <c r="O2" s="7" t="s">
        <v>56</v>
      </c>
      <c r="P2" s="7" t="s">
        <v>57</v>
      </c>
      <c r="Q2" s="8"/>
      <c r="R2" s="8"/>
    </row>
    <row r="3" customFormat="false" ht="15" hidden="false" customHeight="false" outlineLevel="0" collapsed="false">
      <c r="A3" s="6" t="n">
        <v>438</v>
      </c>
      <c r="B3" s="4" t="s">
        <v>58</v>
      </c>
      <c r="C3" s="6" t="s">
        <v>59</v>
      </c>
      <c r="D3" s="4" t="s">
        <v>60</v>
      </c>
      <c r="E3" s="4" t="s">
        <v>61</v>
      </c>
      <c r="F3" s="6" t="n">
        <v>1987</v>
      </c>
      <c r="G3" s="6"/>
      <c r="H3" s="4" t="s">
        <v>55</v>
      </c>
      <c r="I3" s="6"/>
      <c r="J3" s="6" t="n">
        <v>3</v>
      </c>
      <c r="K3" s="6" t="n">
        <v>39.8</v>
      </c>
      <c r="L3" s="6" t="n">
        <v>98.225</v>
      </c>
      <c r="M3" s="6"/>
      <c r="N3" s="6"/>
      <c r="O3" s="7" t="s">
        <v>62</v>
      </c>
      <c r="P3" s="7" t="s">
        <v>63</v>
      </c>
      <c r="Q3" s="8"/>
      <c r="R3" s="8"/>
    </row>
    <row r="4" customFormat="false" ht="29.85" hidden="false" customHeight="false" outlineLevel="0" collapsed="false">
      <c r="A4" s="6" t="n">
        <v>439</v>
      </c>
      <c r="B4" s="4" t="s">
        <v>64</v>
      </c>
      <c r="C4" s="6" t="s">
        <v>65</v>
      </c>
      <c r="D4" s="4" t="s">
        <v>60</v>
      </c>
      <c r="E4" s="4" t="s">
        <v>66</v>
      </c>
      <c r="F4" s="6" t="n">
        <v>1987</v>
      </c>
      <c r="G4" s="4" t="s">
        <v>67</v>
      </c>
      <c r="H4" s="4" t="s">
        <v>55</v>
      </c>
      <c r="I4" s="6"/>
      <c r="J4" s="6" t="n">
        <v>2</v>
      </c>
      <c r="K4" s="6" t="n">
        <v>39.917118</v>
      </c>
      <c r="L4" s="6" t="n">
        <v>116.397151</v>
      </c>
      <c r="M4" s="6"/>
      <c r="N4" s="6"/>
      <c r="O4" s="7" t="s">
        <v>68</v>
      </c>
      <c r="P4" s="7" t="s">
        <v>69</v>
      </c>
      <c r="Q4" s="8"/>
      <c r="R4" s="8"/>
    </row>
    <row r="5" customFormat="false" ht="23.85" hidden="false" customHeight="false" outlineLevel="0" collapsed="false">
      <c r="A5" s="6" t="n">
        <v>440</v>
      </c>
      <c r="B5" s="4" t="s">
        <v>70</v>
      </c>
      <c r="C5" s="6" t="s">
        <v>71</v>
      </c>
      <c r="D5" s="4" t="s">
        <v>60</v>
      </c>
      <c r="E5" s="4" t="s">
        <v>72</v>
      </c>
      <c r="F5" s="6" t="n">
        <v>1987</v>
      </c>
      <c r="G5" s="6"/>
      <c r="H5" s="4" t="s">
        <v>55</v>
      </c>
      <c r="I5" s="6"/>
      <c r="J5" s="6" t="n">
        <v>1</v>
      </c>
      <c r="K5" s="6" t="n">
        <v>40.13333</v>
      </c>
      <c r="L5" s="6" t="n">
        <v>94.81667</v>
      </c>
      <c r="M5" s="4" t="s">
        <v>73</v>
      </c>
      <c r="N5" s="4" t="s">
        <v>74</v>
      </c>
      <c r="O5" s="7" t="s">
        <v>75</v>
      </c>
      <c r="P5" s="7" t="s">
        <v>76</v>
      </c>
      <c r="Q5" s="8"/>
      <c r="R5" s="8"/>
    </row>
    <row r="6" customFormat="false" ht="15" hidden="false" customHeight="false" outlineLevel="0" collapsed="false">
      <c r="A6" s="6" t="n">
        <v>441</v>
      </c>
      <c r="B6" s="4" t="s">
        <v>77</v>
      </c>
      <c r="C6" s="6" t="s">
        <v>78</v>
      </c>
      <c r="D6" s="4" t="s">
        <v>60</v>
      </c>
      <c r="E6" s="4" t="s">
        <v>79</v>
      </c>
      <c r="F6" s="6" t="n">
        <v>1987</v>
      </c>
      <c r="G6" s="6"/>
      <c r="H6" s="4" t="s">
        <v>55</v>
      </c>
      <c r="I6" s="6"/>
      <c r="J6" s="6" t="n">
        <v>2</v>
      </c>
      <c r="K6" s="6" t="n">
        <v>34.3814166667</v>
      </c>
      <c r="L6" s="6" t="n">
        <v>109.253666667</v>
      </c>
      <c r="M6" s="6"/>
      <c r="N6" s="6"/>
      <c r="O6" s="7" t="s">
        <v>80</v>
      </c>
      <c r="P6" s="7" t="s">
        <v>81</v>
      </c>
      <c r="Q6" s="8"/>
      <c r="R6" s="8"/>
    </row>
    <row r="7" customFormat="false" ht="15" hidden="false" customHeight="false" outlineLevel="0" collapsed="false">
      <c r="A7" s="6" t="n">
        <v>449</v>
      </c>
      <c r="B7" s="4" t="s">
        <v>82</v>
      </c>
      <c r="C7" s="6" t="s">
        <v>83</v>
      </c>
      <c r="D7" s="4" t="s">
        <v>60</v>
      </c>
      <c r="E7" s="4" t="s">
        <v>84</v>
      </c>
      <c r="F7" s="6" t="n">
        <v>1987</v>
      </c>
      <c r="G7" s="6"/>
      <c r="H7" s="4" t="s">
        <v>55</v>
      </c>
      <c r="I7" s="6"/>
      <c r="J7" s="6" t="n">
        <v>1</v>
      </c>
      <c r="K7" s="6" t="n">
        <v>39.689449</v>
      </c>
      <c r="L7" s="6" t="n">
        <v>115.922702</v>
      </c>
      <c r="M7" s="6"/>
      <c r="N7" s="6"/>
      <c r="O7" s="7" t="s">
        <v>85</v>
      </c>
      <c r="P7" s="7" t="s">
        <v>86</v>
      </c>
      <c r="Q7" s="8"/>
      <c r="R7" s="8"/>
    </row>
    <row r="8" customFormat="false" ht="15" hidden="false" customHeight="false" outlineLevel="0" collapsed="false">
      <c r="A8" s="6" t="n">
        <v>547</v>
      </c>
      <c r="B8" s="4" t="s">
        <v>87</v>
      </c>
      <c r="C8" s="6" t="s">
        <v>88</v>
      </c>
      <c r="D8" s="4" t="s">
        <v>53</v>
      </c>
      <c r="E8" s="4" t="s">
        <v>89</v>
      </c>
      <c r="F8" s="6" t="n">
        <v>1990</v>
      </c>
      <c r="G8" s="6"/>
      <c r="H8" s="4" t="s">
        <v>55</v>
      </c>
      <c r="I8" s="6"/>
      <c r="J8" s="6" t="n">
        <v>1</v>
      </c>
      <c r="K8" s="6" t="n">
        <v>30.145333</v>
      </c>
      <c r="L8" s="6" t="n">
        <v>118.155083</v>
      </c>
      <c r="M8" s="6"/>
      <c r="N8" s="6"/>
      <c r="O8" s="7" t="s">
        <v>90</v>
      </c>
      <c r="P8" s="7" t="s">
        <v>91</v>
      </c>
      <c r="Q8" s="8"/>
      <c r="R8" s="8"/>
    </row>
    <row r="9" customFormat="false" ht="15" hidden="false" customHeight="false" outlineLevel="0" collapsed="false">
      <c r="A9" s="6" t="n">
        <v>637</v>
      </c>
      <c r="B9" s="4" t="s">
        <v>92</v>
      </c>
      <c r="C9" s="6" t="s">
        <v>93</v>
      </c>
      <c r="D9" s="4" t="s">
        <v>94</v>
      </c>
      <c r="E9" s="4" t="s">
        <v>95</v>
      </c>
      <c r="F9" s="6" t="n">
        <v>1992</v>
      </c>
      <c r="G9" s="6"/>
      <c r="H9" s="4" t="s">
        <v>55</v>
      </c>
      <c r="I9" s="6"/>
      <c r="J9" s="6" t="n">
        <v>1</v>
      </c>
      <c r="K9" s="6" t="n">
        <v>33.08333</v>
      </c>
      <c r="L9" s="6" t="n">
        <v>103.91667</v>
      </c>
      <c r="M9" s="6"/>
      <c r="N9" s="6"/>
      <c r="O9" s="7" t="s">
        <v>96</v>
      </c>
      <c r="P9" s="7" t="s">
        <v>97</v>
      </c>
      <c r="Q9" s="8"/>
      <c r="R9" s="8"/>
    </row>
    <row r="10" customFormat="false" ht="15" hidden="false" customHeight="false" outlineLevel="0" collapsed="false">
      <c r="A10" s="6" t="n">
        <v>638</v>
      </c>
      <c r="B10" s="4" t="s">
        <v>98</v>
      </c>
      <c r="C10" s="6" t="s">
        <v>99</v>
      </c>
      <c r="D10" s="4" t="s">
        <v>94</v>
      </c>
      <c r="E10" s="4" t="s">
        <v>95</v>
      </c>
      <c r="F10" s="6" t="n">
        <v>1992</v>
      </c>
      <c r="G10" s="6"/>
      <c r="H10" s="4" t="s">
        <v>55</v>
      </c>
      <c r="I10" s="6"/>
      <c r="J10" s="6" t="n">
        <v>1</v>
      </c>
      <c r="K10" s="6" t="n">
        <v>32.75417</v>
      </c>
      <c r="L10" s="6" t="n">
        <v>103.82222</v>
      </c>
      <c r="M10" s="6"/>
      <c r="N10" s="6"/>
      <c r="O10" s="7" t="s">
        <v>100</v>
      </c>
      <c r="P10" s="7" t="s">
        <v>101</v>
      </c>
      <c r="Q10" s="8"/>
      <c r="R10" s="8"/>
    </row>
    <row r="11" customFormat="false" ht="15" hidden="false" customHeight="false" outlineLevel="0" collapsed="false">
      <c r="A11" s="6" t="n">
        <v>640</v>
      </c>
      <c r="B11" s="4" t="s">
        <v>102</v>
      </c>
      <c r="C11" s="6" t="s">
        <v>103</v>
      </c>
      <c r="D11" s="4" t="s">
        <v>94</v>
      </c>
      <c r="E11" s="4" t="s">
        <v>95</v>
      </c>
      <c r="F11" s="6" t="n">
        <v>1992</v>
      </c>
      <c r="G11" s="6"/>
      <c r="H11" s="4" t="s">
        <v>55</v>
      </c>
      <c r="I11" s="6"/>
      <c r="J11" s="6" t="n">
        <v>1</v>
      </c>
      <c r="K11" s="6" t="n">
        <v>29.33333</v>
      </c>
      <c r="L11" s="6" t="n">
        <v>110.5</v>
      </c>
      <c r="M11" s="6"/>
      <c r="N11" s="6"/>
      <c r="O11" s="7" t="s">
        <v>104</v>
      </c>
      <c r="P11" s="7" t="s">
        <v>105</v>
      </c>
      <c r="Q11" s="8"/>
      <c r="R11" s="8"/>
    </row>
    <row r="12" customFormat="false" ht="23.85" hidden="false" customHeight="false" outlineLevel="0" collapsed="false">
      <c r="A12" s="6" t="n">
        <v>703</v>
      </c>
      <c r="B12" s="4" t="s">
        <v>106</v>
      </c>
      <c r="C12" s="6" t="s">
        <v>107</v>
      </c>
      <c r="D12" s="4" t="s">
        <v>60</v>
      </c>
      <c r="E12" s="4" t="s">
        <v>108</v>
      </c>
      <c r="F12" s="6" t="n">
        <v>1994</v>
      </c>
      <c r="G12" s="6"/>
      <c r="H12" s="4" t="s">
        <v>55</v>
      </c>
      <c r="I12" s="6"/>
      <c r="J12" s="6" t="n">
        <v>1</v>
      </c>
      <c r="K12" s="6" t="n">
        <v>40.98694</v>
      </c>
      <c r="L12" s="6" t="n">
        <v>117.93833</v>
      </c>
      <c r="M12" s="6"/>
      <c r="N12" s="6"/>
      <c r="O12" s="7" t="s">
        <v>109</v>
      </c>
      <c r="P12" s="7" t="s">
        <v>110</v>
      </c>
      <c r="Q12" s="8"/>
      <c r="R12" s="8"/>
    </row>
    <row r="13" customFormat="false" ht="23.85" hidden="false" customHeight="false" outlineLevel="0" collapsed="false">
      <c r="A13" s="6" t="n">
        <v>704</v>
      </c>
      <c r="B13" s="4" t="s">
        <v>111</v>
      </c>
      <c r="C13" s="6" t="s">
        <v>112</v>
      </c>
      <c r="D13" s="4" t="s">
        <v>60</v>
      </c>
      <c r="E13" s="4" t="s">
        <v>113</v>
      </c>
      <c r="F13" s="6" t="n">
        <v>1994</v>
      </c>
      <c r="G13" s="6"/>
      <c r="H13" s="4" t="s">
        <v>55</v>
      </c>
      <c r="I13" s="6"/>
      <c r="J13" s="6" t="n">
        <v>1</v>
      </c>
      <c r="K13" s="6" t="n">
        <v>35.613215</v>
      </c>
      <c r="L13" s="6" t="n">
        <v>116.994561</v>
      </c>
      <c r="M13" s="6"/>
      <c r="N13" s="6"/>
      <c r="O13" s="7" t="s">
        <v>114</v>
      </c>
      <c r="P13" s="7" t="s">
        <v>115</v>
      </c>
      <c r="Q13" s="8"/>
      <c r="R13" s="8"/>
    </row>
    <row r="14" customFormat="false" ht="23.85" hidden="false" customHeight="false" outlineLevel="0" collapsed="false">
      <c r="A14" s="6" t="n">
        <v>705</v>
      </c>
      <c r="B14" s="4" t="s">
        <v>116</v>
      </c>
      <c r="C14" s="6" t="s">
        <v>117</v>
      </c>
      <c r="D14" s="4" t="s">
        <v>60</v>
      </c>
      <c r="E14" s="4" t="s">
        <v>118</v>
      </c>
      <c r="F14" s="6" t="n">
        <v>1994</v>
      </c>
      <c r="G14" s="6"/>
      <c r="H14" s="4" t="s">
        <v>55</v>
      </c>
      <c r="I14" s="6"/>
      <c r="J14" s="6" t="n">
        <v>1</v>
      </c>
      <c r="K14" s="6" t="n">
        <v>32.46667</v>
      </c>
      <c r="L14" s="6" t="n">
        <v>111</v>
      </c>
      <c r="M14" s="6"/>
      <c r="N14" s="6"/>
      <c r="O14" s="7" t="s">
        <v>119</v>
      </c>
      <c r="P14" s="7" t="s">
        <v>120</v>
      </c>
      <c r="Q14" s="8"/>
      <c r="R14" s="8"/>
    </row>
    <row r="15" customFormat="false" ht="15" hidden="false" customHeight="false" outlineLevel="0" collapsed="false">
      <c r="A15" s="6" t="n">
        <v>707</v>
      </c>
      <c r="B15" s="4" t="s">
        <v>121</v>
      </c>
      <c r="C15" s="6" t="s">
        <v>122</v>
      </c>
      <c r="D15" s="4" t="s">
        <v>60</v>
      </c>
      <c r="E15" s="4" t="s">
        <v>113</v>
      </c>
      <c r="F15" s="6" t="n">
        <v>1994</v>
      </c>
      <c r="G15" s="4" t="s">
        <v>123</v>
      </c>
      <c r="H15" s="4" t="s">
        <v>55</v>
      </c>
      <c r="I15" s="6"/>
      <c r="J15" s="6" t="n">
        <v>3</v>
      </c>
      <c r="K15" s="6" t="n">
        <v>29.650248</v>
      </c>
      <c r="L15" s="6" t="n">
        <v>91.133788</v>
      </c>
      <c r="M15" s="6"/>
      <c r="N15" s="6"/>
      <c r="O15" s="7" t="s">
        <v>124</v>
      </c>
      <c r="P15" s="7" t="s">
        <v>125</v>
      </c>
      <c r="Q15" s="8"/>
      <c r="R15" s="8"/>
    </row>
    <row r="16" customFormat="false" ht="15" hidden="false" customHeight="false" outlineLevel="0" collapsed="false">
      <c r="A16" s="6" t="n">
        <v>778</v>
      </c>
      <c r="B16" s="4" t="s">
        <v>126</v>
      </c>
      <c r="C16" s="6" t="s">
        <v>127</v>
      </c>
      <c r="D16" s="4" t="s">
        <v>60</v>
      </c>
      <c r="E16" s="4" t="s">
        <v>128</v>
      </c>
      <c r="F16" s="6" t="n">
        <v>1996</v>
      </c>
      <c r="G16" s="6"/>
      <c r="H16" s="4" t="s">
        <v>55</v>
      </c>
      <c r="I16" s="6"/>
      <c r="J16" s="6" t="n">
        <v>1</v>
      </c>
      <c r="K16" s="6" t="n">
        <v>29.43333333</v>
      </c>
      <c r="L16" s="6" t="n">
        <v>115.8666667</v>
      </c>
      <c r="M16" s="6"/>
      <c r="N16" s="6"/>
      <c r="O16" s="7" t="s">
        <v>129</v>
      </c>
      <c r="P16" s="7" t="s">
        <v>130</v>
      </c>
      <c r="Q16" s="8"/>
      <c r="R16" s="8"/>
    </row>
    <row r="17" customFormat="false" ht="23.85" hidden="false" customHeight="false" outlineLevel="0" collapsed="false">
      <c r="A17" s="6" t="n">
        <v>779</v>
      </c>
      <c r="B17" s="4" t="s">
        <v>131</v>
      </c>
      <c r="C17" s="6" t="s">
        <v>132</v>
      </c>
      <c r="D17" s="4" t="s">
        <v>53</v>
      </c>
      <c r="E17" s="4" t="s">
        <v>133</v>
      </c>
      <c r="F17" s="6" t="n">
        <v>1996</v>
      </c>
      <c r="G17" s="6"/>
      <c r="H17" s="4" t="s">
        <v>55</v>
      </c>
      <c r="I17" s="6"/>
      <c r="J17" s="6" t="n">
        <v>2</v>
      </c>
      <c r="K17" s="6" t="n">
        <v>29.5447222222</v>
      </c>
      <c r="L17" s="6" t="n">
        <v>103.7733333333</v>
      </c>
      <c r="M17" s="6"/>
      <c r="N17" s="6"/>
      <c r="O17" s="7" t="s">
        <v>134</v>
      </c>
      <c r="P17" s="7" t="s">
        <v>135</v>
      </c>
      <c r="Q17" s="8"/>
      <c r="R17" s="8"/>
    </row>
    <row r="18" customFormat="false" ht="15" hidden="false" customHeight="false" outlineLevel="0" collapsed="false">
      <c r="A18" s="6" t="n">
        <v>811</v>
      </c>
      <c r="B18" s="4" t="s">
        <v>136</v>
      </c>
      <c r="C18" s="6" t="s">
        <v>137</v>
      </c>
      <c r="D18" s="4" t="s">
        <v>60</v>
      </c>
      <c r="E18" s="4" t="s">
        <v>138</v>
      </c>
      <c r="F18" s="6" t="n">
        <v>1997</v>
      </c>
      <c r="G18" s="6"/>
      <c r="H18" s="4" t="s">
        <v>55</v>
      </c>
      <c r="I18" s="6"/>
      <c r="J18" s="6" t="n">
        <v>4</v>
      </c>
      <c r="K18" s="6" t="n">
        <v>26.875</v>
      </c>
      <c r="L18" s="6" t="n">
        <v>100.233333333</v>
      </c>
      <c r="M18" s="6"/>
      <c r="N18" s="6"/>
      <c r="O18" s="7" t="s">
        <v>139</v>
      </c>
      <c r="P18" s="7" t="s">
        <v>140</v>
      </c>
      <c r="Q18" s="8"/>
      <c r="R18" s="8"/>
    </row>
    <row r="19" customFormat="false" ht="15" hidden="false" customHeight="false" outlineLevel="0" collapsed="false">
      <c r="A19" s="6" t="n">
        <v>812</v>
      </c>
      <c r="B19" s="4" t="s">
        <v>141</v>
      </c>
      <c r="C19" s="6" t="s">
        <v>142</v>
      </c>
      <c r="D19" s="4" t="s">
        <v>60</v>
      </c>
      <c r="E19" s="4" t="s">
        <v>143</v>
      </c>
      <c r="F19" s="6" t="n">
        <v>1997</v>
      </c>
      <c r="G19" s="6"/>
      <c r="H19" s="4" t="s">
        <v>55</v>
      </c>
      <c r="I19" s="6"/>
      <c r="J19" s="6" t="n">
        <v>3</v>
      </c>
      <c r="K19" s="6" t="n">
        <v>37.170739</v>
      </c>
      <c r="L19" s="6" t="n">
        <v>112.131745</v>
      </c>
      <c r="M19" s="6"/>
      <c r="N19" s="6"/>
      <c r="O19" s="7" t="s">
        <v>144</v>
      </c>
      <c r="P19" s="7" t="s">
        <v>145</v>
      </c>
      <c r="Q19" s="8"/>
      <c r="R19" s="8"/>
    </row>
    <row r="20" customFormat="false" ht="15" hidden="false" customHeight="false" outlineLevel="0" collapsed="false">
      <c r="A20" s="6" t="n">
        <v>813</v>
      </c>
      <c r="B20" s="4" t="s">
        <v>146</v>
      </c>
      <c r="C20" s="6" t="s">
        <v>147</v>
      </c>
      <c r="D20" s="4" t="s">
        <v>60</v>
      </c>
      <c r="E20" s="4" t="s">
        <v>148</v>
      </c>
      <c r="F20" s="6" t="n">
        <v>1997</v>
      </c>
      <c r="G20" s="4" t="s">
        <v>149</v>
      </c>
      <c r="H20" s="4" t="s">
        <v>55</v>
      </c>
      <c r="I20" s="6"/>
      <c r="J20" s="6" t="n">
        <v>9</v>
      </c>
      <c r="K20" s="6" t="n">
        <v>31.157884</v>
      </c>
      <c r="L20" s="6" t="n">
        <v>120.720422</v>
      </c>
      <c r="M20" s="6"/>
      <c r="N20" s="6"/>
      <c r="O20" s="7" t="s">
        <v>150</v>
      </c>
      <c r="P20" s="7" t="s">
        <v>151</v>
      </c>
      <c r="Q20" s="8"/>
      <c r="R20" s="8"/>
    </row>
    <row r="21" customFormat="false" ht="15" hidden="false" customHeight="false" outlineLevel="0" collapsed="false">
      <c r="A21" s="6" t="n">
        <v>880</v>
      </c>
      <c r="B21" s="4" t="s">
        <v>152</v>
      </c>
      <c r="C21" s="6" t="s">
        <v>153</v>
      </c>
      <c r="D21" s="4" t="s">
        <v>60</v>
      </c>
      <c r="E21" s="4" t="s">
        <v>154</v>
      </c>
      <c r="F21" s="6" t="n">
        <v>1998</v>
      </c>
      <c r="G21" s="6"/>
      <c r="H21" s="4" t="s">
        <v>55</v>
      </c>
      <c r="I21" s="6"/>
      <c r="J21" s="6" t="n">
        <v>1</v>
      </c>
      <c r="K21" s="6" t="n">
        <v>39.9969444444</v>
      </c>
      <c r="L21" s="6" t="n">
        <v>116.268027778</v>
      </c>
      <c r="M21" s="6"/>
      <c r="N21" s="6"/>
      <c r="O21" s="7" t="s">
        <v>155</v>
      </c>
      <c r="P21" s="7" t="s">
        <v>156</v>
      </c>
      <c r="Q21" s="8"/>
      <c r="R21" s="8"/>
    </row>
    <row r="22" customFormat="false" ht="23.85" hidden="false" customHeight="false" outlineLevel="0" collapsed="false">
      <c r="A22" s="6" t="n">
        <v>881</v>
      </c>
      <c r="B22" s="4" t="s">
        <v>157</v>
      </c>
      <c r="C22" s="6" t="s">
        <v>158</v>
      </c>
      <c r="D22" s="4" t="s">
        <v>60</v>
      </c>
      <c r="E22" s="4" t="s">
        <v>154</v>
      </c>
      <c r="F22" s="6" t="n">
        <v>1998</v>
      </c>
      <c r="G22" s="6"/>
      <c r="H22" s="4" t="s">
        <v>55</v>
      </c>
      <c r="I22" s="6"/>
      <c r="J22" s="6" t="n">
        <v>1</v>
      </c>
      <c r="K22" s="6" t="n">
        <v>39.8821666667</v>
      </c>
      <c r="L22" s="6" t="n">
        <v>116.406666667</v>
      </c>
      <c r="M22" s="6"/>
      <c r="N22" s="6"/>
      <c r="O22" s="7" t="s">
        <v>159</v>
      </c>
      <c r="P22" s="7" t="s">
        <v>160</v>
      </c>
      <c r="Q22" s="8"/>
      <c r="R22" s="8"/>
    </row>
    <row r="23" customFormat="false" ht="15" hidden="false" customHeight="false" outlineLevel="0" collapsed="false">
      <c r="A23" s="6" t="n">
        <v>911</v>
      </c>
      <c r="B23" s="4" t="s">
        <v>161</v>
      </c>
      <c r="C23" s="6" t="s">
        <v>162</v>
      </c>
      <c r="D23" s="4" t="s">
        <v>53</v>
      </c>
      <c r="E23" s="4" t="s">
        <v>163</v>
      </c>
      <c r="F23" s="6" t="n">
        <v>1999</v>
      </c>
      <c r="G23" s="6"/>
      <c r="H23" s="4" t="s">
        <v>55</v>
      </c>
      <c r="I23" s="6"/>
      <c r="J23" s="6" t="n">
        <v>2</v>
      </c>
      <c r="K23" s="6" t="n">
        <v>27.5544444444</v>
      </c>
      <c r="L23" s="6" t="n">
        <v>118.043055556</v>
      </c>
      <c r="M23" s="6"/>
      <c r="N23" s="6"/>
      <c r="O23" s="7" t="s">
        <v>164</v>
      </c>
      <c r="P23" s="7" t="s">
        <v>165</v>
      </c>
      <c r="Q23" s="8"/>
      <c r="R23" s="8"/>
    </row>
    <row r="24" customFormat="false" ht="15" hidden="false" customHeight="false" outlineLevel="0" collapsed="false">
      <c r="A24" s="6" t="n">
        <v>912</v>
      </c>
      <c r="B24" s="4" t="s">
        <v>166</v>
      </c>
      <c r="C24" s="6" t="s">
        <v>167</v>
      </c>
      <c r="D24" s="4" t="s">
        <v>60</v>
      </c>
      <c r="E24" s="4" t="s">
        <v>154</v>
      </c>
      <c r="F24" s="6" t="n">
        <v>1999</v>
      </c>
      <c r="G24" s="6"/>
      <c r="H24" s="4" t="s">
        <v>55</v>
      </c>
      <c r="I24" s="6"/>
      <c r="J24" s="6" t="n">
        <v>5</v>
      </c>
      <c r="K24" s="6" t="n">
        <v>29.5833333333</v>
      </c>
      <c r="L24" s="6" t="n">
        <v>105.5666666667</v>
      </c>
      <c r="M24" s="6"/>
      <c r="N24" s="6"/>
      <c r="O24" s="7" t="s">
        <v>168</v>
      </c>
      <c r="P24" s="7" t="s">
        <v>169</v>
      </c>
      <c r="Q24" s="8"/>
      <c r="R24" s="8"/>
    </row>
    <row r="25" customFormat="false" ht="23.85" hidden="false" customHeight="false" outlineLevel="0" collapsed="false">
      <c r="A25" s="6" t="n">
        <v>1001</v>
      </c>
      <c r="B25" s="4" t="s">
        <v>170</v>
      </c>
      <c r="C25" s="6" t="s">
        <v>171</v>
      </c>
      <c r="D25" s="4" t="s">
        <v>60</v>
      </c>
      <c r="E25" s="4" t="s">
        <v>172</v>
      </c>
      <c r="F25" s="6" t="n">
        <v>2000</v>
      </c>
      <c r="G25" s="6"/>
      <c r="H25" s="4" t="s">
        <v>55</v>
      </c>
      <c r="I25" s="6"/>
      <c r="J25" s="6" t="n">
        <v>1</v>
      </c>
      <c r="K25" s="6" t="n">
        <v>31.00167</v>
      </c>
      <c r="L25" s="6" t="n">
        <v>103.60528</v>
      </c>
      <c r="M25" s="6"/>
      <c r="N25" s="6"/>
      <c r="O25" s="7" t="s">
        <v>173</v>
      </c>
      <c r="P25" s="7" t="s">
        <v>174</v>
      </c>
      <c r="Q25" s="8"/>
      <c r="R25" s="8"/>
    </row>
    <row r="26" customFormat="false" ht="29.85" hidden="false" customHeight="false" outlineLevel="0" collapsed="false">
      <c r="A26" s="6" t="n">
        <v>1002</v>
      </c>
      <c r="B26" s="4" t="s">
        <v>175</v>
      </c>
      <c r="C26" s="6" t="s">
        <v>176</v>
      </c>
      <c r="D26" s="4" t="s">
        <v>60</v>
      </c>
      <c r="E26" s="4" t="s">
        <v>177</v>
      </c>
      <c r="F26" s="6" t="n">
        <v>2000</v>
      </c>
      <c r="G26" s="6"/>
      <c r="H26" s="4" t="s">
        <v>55</v>
      </c>
      <c r="I26" s="6"/>
      <c r="J26" s="6" t="n">
        <v>2</v>
      </c>
      <c r="K26" s="6" t="n">
        <v>29.9044444444</v>
      </c>
      <c r="L26" s="6" t="n">
        <v>117.9875</v>
      </c>
      <c r="M26" s="6"/>
      <c r="N26" s="6"/>
      <c r="O26" s="7" t="s">
        <v>178</v>
      </c>
      <c r="P26" s="7" t="s">
        <v>179</v>
      </c>
      <c r="Q26" s="8"/>
      <c r="R26" s="8"/>
    </row>
    <row r="27" customFormat="false" ht="15" hidden="false" customHeight="false" outlineLevel="0" collapsed="false">
      <c r="A27" s="6" t="n">
        <v>1003</v>
      </c>
      <c r="B27" s="4" t="s">
        <v>180</v>
      </c>
      <c r="C27" s="6" t="s">
        <v>181</v>
      </c>
      <c r="D27" s="4" t="s">
        <v>60</v>
      </c>
      <c r="E27" s="4" t="s">
        <v>154</v>
      </c>
      <c r="F27" s="6" t="n">
        <v>2000</v>
      </c>
      <c r="G27" s="6"/>
      <c r="H27" s="4" t="s">
        <v>55</v>
      </c>
      <c r="I27" s="6"/>
      <c r="J27" s="6" t="n">
        <v>1</v>
      </c>
      <c r="K27" s="6" t="n">
        <v>34.46666667</v>
      </c>
      <c r="L27" s="6" t="n">
        <v>112.4666667</v>
      </c>
      <c r="M27" s="6"/>
      <c r="N27" s="6"/>
      <c r="O27" s="7" t="s">
        <v>182</v>
      </c>
      <c r="P27" s="7" t="s">
        <v>183</v>
      </c>
      <c r="Q27" s="8"/>
      <c r="R27" s="8"/>
    </row>
    <row r="28" customFormat="false" ht="15" hidden="false" customHeight="false" outlineLevel="0" collapsed="false">
      <c r="A28" s="6" t="n">
        <v>1004</v>
      </c>
      <c r="B28" s="4" t="s">
        <v>184</v>
      </c>
      <c r="C28" s="6" t="s">
        <v>185</v>
      </c>
      <c r="D28" s="4" t="s">
        <v>60</v>
      </c>
      <c r="E28" s="4" t="s">
        <v>61</v>
      </c>
      <c r="F28" s="6" t="n">
        <v>2000</v>
      </c>
      <c r="G28" s="4" t="s">
        <v>186</v>
      </c>
      <c r="H28" s="4" t="s">
        <v>55</v>
      </c>
      <c r="I28" s="6"/>
      <c r="J28" s="6" t="n">
        <v>14</v>
      </c>
      <c r="K28" s="6" t="n">
        <v>31.0166666667</v>
      </c>
      <c r="L28" s="6" t="n">
        <v>112.65</v>
      </c>
      <c r="M28" s="6"/>
      <c r="N28" s="6"/>
      <c r="O28" s="7" t="s">
        <v>187</v>
      </c>
      <c r="P28" s="7" t="s">
        <v>188</v>
      </c>
      <c r="Q28" s="8"/>
      <c r="R28" s="8"/>
    </row>
    <row r="29" customFormat="false" ht="15" hidden="false" customHeight="false" outlineLevel="0" collapsed="false">
      <c r="A29" s="6" t="n">
        <v>1039</v>
      </c>
      <c r="B29" s="4" t="s">
        <v>189</v>
      </c>
      <c r="C29" s="6" t="s">
        <v>190</v>
      </c>
      <c r="D29" s="4" t="s">
        <v>60</v>
      </c>
      <c r="E29" s="4" t="s">
        <v>66</v>
      </c>
      <c r="F29" s="6" t="n">
        <v>2001</v>
      </c>
      <c r="G29" s="6"/>
      <c r="H29" s="4" t="s">
        <v>55</v>
      </c>
      <c r="I29" s="6"/>
      <c r="J29" s="6" t="n">
        <v>1</v>
      </c>
      <c r="K29" s="6" t="n">
        <v>40.10972</v>
      </c>
      <c r="L29" s="6" t="n">
        <v>113.12222</v>
      </c>
      <c r="M29" s="6"/>
      <c r="N29" s="6"/>
      <c r="O29" s="7" t="s">
        <v>191</v>
      </c>
      <c r="P29" s="7" t="s">
        <v>192</v>
      </c>
      <c r="Q29" s="8"/>
      <c r="R29" s="8"/>
    </row>
    <row r="30" customFormat="false" ht="15" hidden="false" customHeight="false" outlineLevel="0" collapsed="false">
      <c r="A30" s="6" t="n">
        <v>1083</v>
      </c>
      <c r="B30" s="4" t="s">
        <v>193</v>
      </c>
      <c r="C30" s="6" t="s">
        <v>194</v>
      </c>
      <c r="D30" s="4" t="s">
        <v>94</v>
      </c>
      <c r="E30" s="4" t="s">
        <v>195</v>
      </c>
      <c r="F30" s="6" t="n">
        <v>2003</v>
      </c>
      <c r="G30" s="6"/>
      <c r="H30" s="4" t="s">
        <v>55</v>
      </c>
      <c r="I30" s="6"/>
      <c r="J30" s="6" t="n">
        <v>1</v>
      </c>
      <c r="K30" s="6" t="n">
        <v>27.895</v>
      </c>
      <c r="L30" s="6" t="n">
        <v>98.40638889</v>
      </c>
      <c r="M30" s="6"/>
      <c r="N30" s="6"/>
      <c r="O30" s="7" t="s">
        <v>196</v>
      </c>
      <c r="P30" s="7" t="s">
        <v>197</v>
      </c>
      <c r="Q30" s="8"/>
      <c r="R30" s="8"/>
    </row>
    <row r="31" customFormat="false" ht="23.85" hidden="false" customHeight="false" outlineLevel="0" collapsed="false">
      <c r="A31" s="6" t="n">
        <v>1135</v>
      </c>
      <c r="B31" s="4" t="s">
        <v>198</v>
      </c>
      <c r="C31" s="6" t="s">
        <v>199</v>
      </c>
      <c r="D31" s="4" t="s">
        <v>60</v>
      </c>
      <c r="E31" s="4" t="s">
        <v>148</v>
      </c>
      <c r="F31" s="6" t="n">
        <v>2004</v>
      </c>
      <c r="G31" s="6"/>
      <c r="H31" s="4" t="s">
        <v>55</v>
      </c>
      <c r="I31" s="6"/>
      <c r="J31" s="6" t="n">
        <v>5</v>
      </c>
      <c r="K31" s="6" t="n">
        <v>41.1387222222</v>
      </c>
      <c r="L31" s="6" t="n">
        <v>126.176194444</v>
      </c>
      <c r="M31" s="6"/>
      <c r="N31" s="6"/>
      <c r="O31" s="7" t="s">
        <v>200</v>
      </c>
      <c r="P31" s="7" t="s">
        <v>201</v>
      </c>
      <c r="Q31" s="8"/>
      <c r="R31" s="8"/>
    </row>
    <row r="32" customFormat="false" ht="23.85" hidden="false" customHeight="false" outlineLevel="0" collapsed="false">
      <c r="A32" s="6" t="n">
        <v>1110</v>
      </c>
      <c r="B32" s="4" t="s">
        <v>202</v>
      </c>
      <c r="C32" s="6" t="s">
        <v>203</v>
      </c>
      <c r="D32" s="4" t="s">
        <v>60</v>
      </c>
      <c r="E32" s="4" t="s">
        <v>128</v>
      </c>
      <c r="F32" s="6" t="n">
        <v>2005</v>
      </c>
      <c r="G32" s="6"/>
      <c r="H32" s="4" t="s">
        <v>55</v>
      </c>
      <c r="I32" s="6"/>
      <c r="J32" s="6" t="n">
        <v>2</v>
      </c>
      <c r="K32" s="6" t="n">
        <v>22.1911111111</v>
      </c>
      <c r="L32" s="6" t="n">
        <v>113.5363888889</v>
      </c>
      <c r="M32" s="4" t="s">
        <v>204</v>
      </c>
      <c r="N32" s="4" t="s">
        <v>205</v>
      </c>
      <c r="O32" s="7" t="s">
        <v>206</v>
      </c>
      <c r="P32" s="7" t="s">
        <v>207</v>
      </c>
      <c r="Q32" s="8"/>
      <c r="R32" s="8"/>
    </row>
    <row r="33" customFormat="false" ht="15" hidden="false" customHeight="false" outlineLevel="0" collapsed="false">
      <c r="A33" s="6" t="n">
        <v>1114</v>
      </c>
      <c r="B33" s="4" t="s">
        <v>208</v>
      </c>
      <c r="C33" s="6" t="s">
        <v>209</v>
      </c>
      <c r="D33" s="4" t="s">
        <v>60</v>
      </c>
      <c r="E33" s="4" t="s">
        <v>128</v>
      </c>
      <c r="F33" s="6" t="n">
        <v>2006</v>
      </c>
      <c r="G33" s="6"/>
      <c r="H33" s="4" t="s">
        <v>55</v>
      </c>
      <c r="I33" s="6"/>
      <c r="J33" s="6" t="n">
        <v>2</v>
      </c>
      <c r="K33" s="6" t="n">
        <v>36.121978</v>
      </c>
      <c r="L33" s="6" t="n">
        <v>114.325162</v>
      </c>
      <c r="M33" s="6"/>
      <c r="N33" s="6"/>
      <c r="O33" s="7" t="s">
        <v>210</v>
      </c>
      <c r="P33" s="7" t="s">
        <v>211</v>
      </c>
      <c r="Q33" s="8"/>
      <c r="R33" s="8"/>
    </row>
    <row r="34" customFormat="false" ht="23.85" hidden="false" customHeight="false" outlineLevel="0" collapsed="false">
      <c r="A34" s="6" t="n">
        <v>1213</v>
      </c>
      <c r="B34" s="4" t="s">
        <v>212</v>
      </c>
      <c r="C34" s="6" t="s">
        <v>213</v>
      </c>
      <c r="D34" s="4" t="s">
        <v>94</v>
      </c>
      <c r="E34" s="4" t="s">
        <v>214</v>
      </c>
      <c r="F34" s="6" t="n">
        <v>2006</v>
      </c>
      <c r="G34" s="6"/>
      <c r="H34" s="4" t="s">
        <v>55</v>
      </c>
      <c r="I34" s="6"/>
      <c r="J34" s="6" t="n">
        <v>1</v>
      </c>
      <c r="K34" s="6" t="n">
        <v>30.8333333333</v>
      </c>
      <c r="L34" s="6" t="n">
        <v>103</v>
      </c>
      <c r="M34" s="6"/>
      <c r="N34" s="6"/>
      <c r="O34" s="7" t="s">
        <v>215</v>
      </c>
      <c r="P34" s="7" t="s">
        <v>216</v>
      </c>
      <c r="Q34" s="8"/>
      <c r="R34" s="8"/>
    </row>
    <row r="35" customFormat="false" ht="35.05" hidden="false" customHeight="false" outlineLevel="0" collapsed="false">
      <c r="A35" s="6" t="n">
        <v>1112</v>
      </c>
      <c r="B35" s="4" t="s">
        <v>217</v>
      </c>
      <c r="C35" s="6" t="s">
        <v>218</v>
      </c>
      <c r="D35" s="4" t="s">
        <v>60</v>
      </c>
      <c r="E35" s="4" t="s">
        <v>143</v>
      </c>
      <c r="F35" s="6" t="n">
        <v>2007</v>
      </c>
      <c r="G35" s="6"/>
      <c r="H35" s="4" t="s">
        <v>55</v>
      </c>
      <c r="I35" s="6"/>
      <c r="J35" s="6" t="n">
        <v>4</v>
      </c>
      <c r="K35" s="6" t="n">
        <v>22.258774</v>
      </c>
      <c r="L35" s="6" t="n">
        <v>112.525727</v>
      </c>
      <c r="M35" s="4" t="s">
        <v>219</v>
      </c>
      <c r="N35" s="4" t="s">
        <v>220</v>
      </c>
      <c r="O35" s="7" t="s">
        <v>221</v>
      </c>
      <c r="P35" s="7" t="s">
        <v>222</v>
      </c>
      <c r="Q35" s="8"/>
      <c r="R35" s="8"/>
    </row>
    <row r="36" customFormat="false" ht="15" hidden="false" customHeight="false" outlineLevel="0" collapsed="false">
      <c r="A36" s="6" t="n">
        <v>1248</v>
      </c>
      <c r="B36" s="4" t="s">
        <v>223</v>
      </c>
      <c r="C36" s="6" t="s">
        <v>224</v>
      </c>
      <c r="D36" s="4" t="s">
        <v>94</v>
      </c>
      <c r="E36" s="4" t="s">
        <v>225</v>
      </c>
      <c r="F36" s="6" t="n">
        <v>2007</v>
      </c>
      <c r="G36" s="4" t="s">
        <v>226</v>
      </c>
      <c r="H36" s="4" t="s">
        <v>55</v>
      </c>
      <c r="I36" s="6"/>
      <c r="J36" s="6" t="n">
        <v>12</v>
      </c>
      <c r="K36" s="6" t="n">
        <v>24.7177777778</v>
      </c>
      <c r="L36" s="6" t="n">
        <v>103.344166667</v>
      </c>
      <c r="M36" s="6"/>
      <c r="N36" s="6"/>
      <c r="O36" s="7" t="s">
        <v>227</v>
      </c>
      <c r="P36" s="7" t="s">
        <v>228</v>
      </c>
      <c r="Q36" s="8"/>
      <c r="R36" s="8"/>
    </row>
    <row r="37" customFormat="false" ht="15" hidden="false" customHeight="false" outlineLevel="0" collapsed="false">
      <c r="A37" s="6" t="n">
        <v>1113</v>
      </c>
      <c r="B37" s="4" t="s">
        <v>229</v>
      </c>
      <c r="C37" s="6" t="s">
        <v>230</v>
      </c>
      <c r="D37" s="4" t="s">
        <v>60</v>
      </c>
      <c r="E37" s="4" t="s">
        <v>177</v>
      </c>
      <c r="F37" s="6" t="n">
        <v>2008</v>
      </c>
      <c r="G37" s="6"/>
      <c r="H37" s="4" t="s">
        <v>55</v>
      </c>
      <c r="I37" s="6"/>
      <c r="J37" s="6" t="n">
        <v>10</v>
      </c>
      <c r="K37" s="6" t="n">
        <v>24.5508333333</v>
      </c>
      <c r="L37" s="6" t="n">
        <v>116.9002777778</v>
      </c>
      <c r="M37" s="6"/>
      <c r="N37" s="6"/>
      <c r="O37" s="7" t="s">
        <v>231</v>
      </c>
      <c r="P37" s="7" t="s">
        <v>232</v>
      </c>
      <c r="Q37" s="8"/>
      <c r="R37" s="8"/>
    </row>
    <row r="38" customFormat="false" ht="15" hidden="false" customHeight="false" outlineLevel="0" collapsed="false">
      <c r="A38" s="6" t="n">
        <v>1292</v>
      </c>
      <c r="B38" s="4" t="s">
        <v>233</v>
      </c>
      <c r="C38" s="6" t="s">
        <v>234</v>
      </c>
      <c r="D38" s="4" t="s">
        <v>94</v>
      </c>
      <c r="E38" s="4" t="s">
        <v>95</v>
      </c>
      <c r="F38" s="6" t="n">
        <v>2008</v>
      </c>
      <c r="G38" s="6"/>
      <c r="H38" s="4" t="s">
        <v>55</v>
      </c>
      <c r="I38" s="6"/>
      <c r="J38" s="6" t="n">
        <v>1</v>
      </c>
      <c r="K38" s="6" t="n">
        <v>28.9158333333</v>
      </c>
      <c r="L38" s="6" t="n">
        <v>118.0644444444</v>
      </c>
      <c r="M38" s="6"/>
      <c r="N38" s="6"/>
      <c r="O38" s="7" t="s">
        <v>235</v>
      </c>
      <c r="P38" s="7" t="s">
        <v>236</v>
      </c>
      <c r="Q38" s="8"/>
      <c r="R38" s="8"/>
    </row>
    <row r="39" customFormat="false" ht="15" hidden="false" customHeight="false" outlineLevel="0" collapsed="false">
      <c r="A39" s="6" t="n">
        <v>1279</v>
      </c>
      <c r="B39" s="4" t="s">
        <v>237</v>
      </c>
      <c r="C39" s="6" t="s">
        <v>238</v>
      </c>
      <c r="D39" s="4" t="s">
        <v>60</v>
      </c>
      <c r="E39" s="4" t="s">
        <v>128</v>
      </c>
      <c r="F39" s="6" t="n">
        <v>2009</v>
      </c>
      <c r="G39" s="6"/>
      <c r="H39" s="4" t="s">
        <v>55</v>
      </c>
      <c r="I39" s="6"/>
      <c r="J39" s="6" t="n">
        <v>2</v>
      </c>
      <c r="K39" s="6" t="n">
        <v>38.8822222222</v>
      </c>
      <c r="L39" s="6" t="n">
        <v>113.3494444444</v>
      </c>
      <c r="M39" s="6"/>
      <c r="N39" s="6"/>
      <c r="O39" s="7" t="s">
        <v>239</v>
      </c>
      <c r="P39" s="7" t="s">
        <v>240</v>
      </c>
      <c r="Q39" s="8"/>
      <c r="R39" s="8"/>
    </row>
    <row r="40" customFormat="false" ht="23.85" hidden="false" customHeight="false" outlineLevel="0" collapsed="false">
      <c r="A40" s="6" t="n">
        <v>1305</v>
      </c>
      <c r="B40" s="4" t="s">
        <v>241</v>
      </c>
      <c r="C40" s="6" t="s">
        <v>242</v>
      </c>
      <c r="D40" s="4" t="s">
        <v>60</v>
      </c>
      <c r="E40" s="4" t="s">
        <v>84</v>
      </c>
      <c r="F40" s="6" t="n">
        <v>2010</v>
      </c>
      <c r="G40" s="6"/>
      <c r="H40" s="4" t="s">
        <v>55</v>
      </c>
      <c r="I40" s="6"/>
      <c r="J40" s="6" t="n">
        <v>8</v>
      </c>
      <c r="K40" s="6" t="n">
        <v>34.3997138889</v>
      </c>
      <c r="L40" s="6" t="n">
        <v>113.1412444444</v>
      </c>
      <c r="M40" s="6"/>
      <c r="N40" s="6"/>
      <c r="O40" s="7" t="s">
        <v>243</v>
      </c>
      <c r="P40" s="7" t="s">
        <v>244</v>
      </c>
      <c r="Q40" s="8"/>
      <c r="R40" s="8"/>
    </row>
    <row r="41" customFormat="false" ht="15" hidden="false" customHeight="false" outlineLevel="0" collapsed="false">
      <c r="A41" s="6" t="n">
        <v>1335</v>
      </c>
      <c r="B41" s="4" t="s">
        <v>245</v>
      </c>
      <c r="C41" s="6" t="s">
        <v>246</v>
      </c>
      <c r="D41" s="4" t="s">
        <v>94</v>
      </c>
      <c r="E41" s="4" t="s">
        <v>225</v>
      </c>
      <c r="F41" s="6" t="n">
        <v>2010</v>
      </c>
      <c r="G41" s="6"/>
      <c r="H41" s="4" t="s">
        <v>55</v>
      </c>
      <c r="I41" s="6"/>
      <c r="J41" s="6" t="n">
        <v>9</v>
      </c>
      <c r="K41" s="6" t="n">
        <v>24.9652777778</v>
      </c>
      <c r="L41" s="6" t="n">
        <v>113.7033333333</v>
      </c>
      <c r="M41" s="6"/>
      <c r="N41" s="6"/>
      <c r="O41" s="7" t="s">
        <v>247</v>
      </c>
      <c r="P41" s="7" t="s">
        <v>248</v>
      </c>
      <c r="Q41" s="8"/>
      <c r="R41" s="8"/>
    </row>
    <row r="42" customFormat="false" ht="15" hidden="false" customHeight="false" outlineLevel="0" collapsed="false">
      <c r="A42" s="6" t="n">
        <v>1334</v>
      </c>
      <c r="B42" s="4" t="s">
        <v>249</v>
      </c>
      <c r="C42" s="6" t="s">
        <v>250</v>
      </c>
      <c r="D42" s="4" t="s">
        <v>60</v>
      </c>
      <c r="E42" s="4" t="s">
        <v>251</v>
      </c>
      <c r="F42" s="6" t="n">
        <v>2011</v>
      </c>
      <c r="G42" s="6"/>
      <c r="H42" s="4" t="s">
        <v>55</v>
      </c>
      <c r="I42" s="6"/>
      <c r="J42" s="6" t="n">
        <v>1</v>
      </c>
      <c r="K42" s="6" t="n">
        <v>30.2375</v>
      </c>
      <c r="L42" s="6" t="n">
        <v>120.1408333333</v>
      </c>
      <c r="M42" s="6"/>
      <c r="N42" s="6"/>
      <c r="O42" s="7" t="s">
        <v>252</v>
      </c>
      <c r="P42" s="7" t="s">
        <v>253</v>
      </c>
      <c r="Q42" s="8"/>
      <c r="R42" s="8"/>
    </row>
    <row r="43" customFormat="false" ht="15" hidden="false" customHeight="false" outlineLevel="0" collapsed="false">
      <c r="A43" s="6" t="n">
        <v>1388</v>
      </c>
      <c r="B43" s="4" t="s">
        <v>254</v>
      </c>
      <c r="C43" s="6" t="s">
        <v>255</v>
      </c>
      <c r="D43" s="4" t="s">
        <v>94</v>
      </c>
      <c r="E43" s="4" t="s">
        <v>256</v>
      </c>
      <c r="F43" s="6" t="n">
        <v>2012</v>
      </c>
      <c r="G43" s="6"/>
      <c r="H43" s="4" t="s">
        <v>55</v>
      </c>
      <c r="I43" s="6"/>
      <c r="J43" s="6" t="n">
        <v>1</v>
      </c>
      <c r="K43" s="6" t="n">
        <v>24.6688888889</v>
      </c>
      <c r="L43" s="6" t="n">
        <v>102.9772222222</v>
      </c>
      <c r="M43" s="6"/>
      <c r="N43" s="6"/>
      <c r="O43" s="7" t="s">
        <v>257</v>
      </c>
      <c r="P43" s="7" t="s">
        <v>258</v>
      </c>
      <c r="Q43" s="8"/>
      <c r="R43" s="8"/>
    </row>
    <row r="44" customFormat="false" ht="23.85" hidden="false" customHeight="false" outlineLevel="0" collapsed="false">
      <c r="A44" s="6" t="n">
        <v>1389</v>
      </c>
      <c r="B44" s="4" t="s">
        <v>259</v>
      </c>
      <c r="C44" s="6" t="s">
        <v>260</v>
      </c>
      <c r="D44" s="4" t="s">
        <v>60</v>
      </c>
      <c r="E44" s="4" t="s">
        <v>128</v>
      </c>
      <c r="F44" s="6" t="n">
        <v>2012</v>
      </c>
      <c r="G44" s="6"/>
      <c r="H44" s="4" t="s">
        <v>55</v>
      </c>
      <c r="I44" s="6"/>
      <c r="J44" s="6" t="n">
        <v>1</v>
      </c>
      <c r="K44" s="6" t="n">
        <v>42.358</v>
      </c>
      <c r="L44" s="6" t="n">
        <v>116.1851277778</v>
      </c>
      <c r="M44" s="4" t="s">
        <v>261</v>
      </c>
      <c r="N44" s="4" t="s">
        <v>262</v>
      </c>
      <c r="O44" s="7" t="s">
        <v>263</v>
      </c>
      <c r="P44" s="7" t="s">
        <v>264</v>
      </c>
      <c r="Q44" s="8"/>
      <c r="R44" s="8"/>
    </row>
    <row r="45" customFormat="false" ht="15" hidden="false" customHeight="false" outlineLevel="0" collapsed="false">
      <c r="A45" s="6" t="n">
        <v>1111</v>
      </c>
      <c r="B45" s="4" t="s">
        <v>265</v>
      </c>
      <c r="C45" s="6"/>
      <c r="D45" s="4" t="s">
        <v>60</v>
      </c>
      <c r="E45" s="4" t="s">
        <v>266</v>
      </c>
      <c r="F45" s="6" t="n">
        <v>2013</v>
      </c>
      <c r="G45" s="6"/>
      <c r="H45" s="4" t="s">
        <v>55</v>
      </c>
      <c r="I45" s="6"/>
      <c r="J45" s="6" t="n">
        <v>1</v>
      </c>
      <c r="K45" s="6" t="n">
        <v>23.0932777778</v>
      </c>
      <c r="L45" s="6" t="n">
        <v>102.7799805556</v>
      </c>
      <c r="M45" s="6"/>
      <c r="N45" s="6"/>
      <c r="O45" s="7" t="s">
        <v>267</v>
      </c>
      <c r="P45" s="7" t="s">
        <v>268</v>
      </c>
      <c r="Q45" s="8"/>
      <c r="R45" s="8"/>
    </row>
    <row r="46" customFormat="false" ht="15" hidden="false" customHeight="false" outlineLevel="0" collapsed="false">
      <c r="A46" s="6" t="n">
        <v>1414</v>
      </c>
      <c r="B46" s="4" t="s">
        <v>269</v>
      </c>
      <c r="C46" s="6"/>
      <c r="D46" s="4" t="s">
        <v>94</v>
      </c>
      <c r="E46" s="4" t="s">
        <v>270</v>
      </c>
      <c r="F46" s="6" t="n">
        <v>2013</v>
      </c>
      <c r="G46" s="6"/>
      <c r="H46" s="4" t="s">
        <v>55</v>
      </c>
      <c r="I46" s="6"/>
      <c r="J46" s="6" t="n">
        <v>4</v>
      </c>
      <c r="K46" s="6" t="n">
        <v>41.9683333333</v>
      </c>
      <c r="L46" s="6" t="n">
        <v>80.3541666667</v>
      </c>
      <c r="M46" s="6"/>
      <c r="N46" s="6"/>
      <c r="O46" s="7" t="s">
        <v>271</v>
      </c>
      <c r="P46" s="7" t="s">
        <v>272</v>
      </c>
      <c r="Q46" s="8"/>
      <c r="R46" s="8"/>
    </row>
    <row r="47" customFormat="false" ht="35.05" hidden="false" customHeight="false" outlineLevel="0" collapsed="false">
      <c r="A47" s="6" t="n">
        <v>1442</v>
      </c>
      <c r="B47" s="4" t="s">
        <v>273</v>
      </c>
      <c r="C47" s="6"/>
      <c r="D47" s="4" t="s">
        <v>60</v>
      </c>
      <c r="E47" s="4" t="s">
        <v>274</v>
      </c>
      <c r="F47" s="6" t="n">
        <v>2014</v>
      </c>
      <c r="G47" s="6"/>
      <c r="H47" s="4" t="s">
        <v>275</v>
      </c>
      <c r="I47" s="4" t="s">
        <v>276</v>
      </c>
      <c r="J47" s="6" t="n">
        <v>33</v>
      </c>
      <c r="K47" s="6" t="n">
        <v>33.1588888889</v>
      </c>
      <c r="L47" s="6" t="n">
        <v>107.291111111</v>
      </c>
      <c r="M47" s="4" t="s">
        <v>73</v>
      </c>
      <c r="N47" s="4" t="s">
        <v>277</v>
      </c>
      <c r="O47" s="7" t="s">
        <v>278</v>
      </c>
      <c r="P47" s="7" t="s">
        <v>279</v>
      </c>
      <c r="Q47" s="8"/>
      <c r="R47" s="8"/>
    </row>
    <row r="48" customFormat="false" ht="15" hidden="false" customHeight="false" outlineLevel="0" collapsed="false">
      <c r="A48" s="6" t="n">
        <v>1443</v>
      </c>
      <c r="B48" s="4" t="s">
        <v>280</v>
      </c>
      <c r="C48" s="6"/>
      <c r="D48" s="4" t="s">
        <v>60</v>
      </c>
      <c r="E48" s="4" t="s">
        <v>79</v>
      </c>
      <c r="F48" s="6" t="n">
        <v>2014</v>
      </c>
      <c r="G48" s="6"/>
      <c r="H48" s="4" t="s">
        <v>55</v>
      </c>
      <c r="I48" s="6"/>
      <c r="J48" s="6" t="n">
        <v>31</v>
      </c>
      <c r="K48" s="6" t="n">
        <v>29.8747222222</v>
      </c>
      <c r="L48" s="6" t="n">
        <v>121.557222222</v>
      </c>
      <c r="M48" s="6"/>
      <c r="N48" s="6"/>
      <c r="O48" s="7" t="s">
        <v>281</v>
      </c>
      <c r="P48" s="7" t="s">
        <v>282</v>
      </c>
      <c r="Q48" s="8"/>
      <c r="R48" s="8"/>
    </row>
    <row r="49" customFormat="false" ht="15" hidden="false" customHeight="false" outlineLevel="0" collapsed="false">
      <c r="A49" s="6" t="n">
        <v>1474</v>
      </c>
      <c r="B49" s="4" t="s">
        <v>283</v>
      </c>
      <c r="C49" s="6" t="s">
        <v>284</v>
      </c>
      <c r="D49" s="4" t="s">
        <v>60</v>
      </c>
      <c r="E49" s="4" t="s">
        <v>285</v>
      </c>
      <c r="F49" s="6" t="n">
        <v>2015</v>
      </c>
      <c r="G49" s="6"/>
      <c r="H49" s="4" t="s">
        <v>55</v>
      </c>
      <c r="I49" s="6"/>
      <c r="J49" s="6" t="n">
        <v>3</v>
      </c>
      <c r="K49" s="6" t="n">
        <v>27.8116666667</v>
      </c>
      <c r="L49" s="6" t="n">
        <v>106.8169444444</v>
      </c>
      <c r="M49" s="6"/>
      <c r="N49" s="6"/>
      <c r="O49" s="7" t="s">
        <v>286</v>
      </c>
      <c r="P49" s="7" t="s">
        <v>287</v>
      </c>
      <c r="Q49" s="8"/>
      <c r="R49" s="8"/>
    </row>
    <row r="50" customFormat="false" ht="15" hidden="false" customHeight="false" outlineLevel="0" collapsed="false">
      <c r="A50" s="6" t="n">
        <v>1508</v>
      </c>
      <c r="B50" s="4" t="s">
        <v>288</v>
      </c>
      <c r="C50" s="6" t="s">
        <v>289</v>
      </c>
      <c r="D50" s="4" t="s">
        <v>60</v>
      </c>
      <c r="E50" s="4" t="s">
        <v>84</v>
      </c>
      <c r="F50" s="6" t="n">
        <v>2016</v>
      </c>
      <c r="G50" s="6"/>
      <c r="H50" s="4" t="s">
        <v>55</v>
      </c>
      <c r="I50" s="6"/>
      <c r="J50" s="6" t="n">
        <v>3</v>
      </c>
      <c r="K50" s="6" t="n">
        <v>22.2555555556</v>
      </c>
      <c r="L50" s="6" t="n">
        <v>107.031388889</v>
      </c>
      <c r="M50" s="6"/>
      <c r="N50" s="6"/>
      <c r="O50" s="7" t="s">
        <v>290</v>
      </c>
      <c r="P50" s="7" t="s">
        <v>291</v>
      </c>
      <c r="Q50" s="8"/>
      <c r="R50" s="8"/>
    </row>
    <row r="51" customFormat="false" ht="15" hidden="false" customHeight="false" outlineLevel="0" collapsed="false">
      <c r="A51" s="6" t="n">
        <v>1509</v>
      </c>
      <c r="B51" s="4" t="s">
        <v>292</v>
      </c>
      <c r="C51" s="6" t="s">
        <v>293</v>
      </c>
      <c r="D51" s="4" t="s">
        <v>94</v>
      </c>
      <c r="E51" s="4" t="s">
        <v>294</v>
      </c>
      <c r="F51" s="6" t="n">
        <v>2016</v>
      </c>
      <c r="G51" s="6"/>
      <c r="H51" s="4" t="s">
        <v>55</v>
      </c>
      <c r="I51" s="6"/>
      <c r="J51" s="6" t="n">
        <v>2</v>
      </c>
      <c r="K51" s="6" t="n">
        <v>31.4630555556</v>
      </c>
      <c r="L51" s="6" t="n">
        <v>110.509166667</v>
      </c>
      <c r="M51" s="6"/>
      <c r="N51" s="6"/>
      <c r="O51" s="7" t="s">
        <v>295</v>
      </c>
      <c r="P51" s="7" t="s">
        <v>296</v>
      </c>
      <c r="Q51" s="8"/>
      <c r="R51" s="8"/>
    </row>
    <row r="52" customFormat="false" ht="15" hidden="false" customHeight="false" outlineLevel="0" collapsed="false">
      <c r="A52" s="6" t="n">
        <v>1540</v>
      </c>
      <c r="B52" s="4" t="s">
        <v>297</v>
      </c>
      <c r="C52" s="6"/>
      <c r="D52" s="4" t="s">
        <v>94</v>
      </c>
      <c r="E52" s="4" t="s">
        <v>298</v>
      </c>
      <c r="F52" s="6" t="n">
        <v>2017</v>
      </c>
      <c r="G52" s="6"/>
      <c r="H52" s="4" t="s">
        <v>55</v>
      </c>
      <c r="I52" s="6"/>
      <c r="J52" s="6" t="n">
        <v>1</v>
      </c>
      <c r="K52" s="6" t="n">
        <v>35.3802777778</v>
      </c>
      <c r="L52" s="6" t="n">
        <v>92.4391666667</v>
      </c>
      <c r="M52" s="6"/>
      <c r="N52" s="6"/>
      <c r="O52" s="7" t="s">
        <v>299</v>
      </c>
      <c r="P52" s="7" t="s">
        <v>300</v>
      </c>
      <c r="Q52" s="8"/>
      <c r="R52" s="8"/>
    </row>
    <row r="53" customFormat="false" ht="23.85" hidden="false" customHeight="false" outlineLevel="0" collapsed="false">
      <c r="A53" s="6" t="n">
        <v>1541</v>
      </c>
      <c r="B53" s="4" t="s">
        <v>301</v>
      </c>
      <c r="C53" s="6"/>
      <c r="D53" s="4" t="s">
        <v>60</v>
      </c>
      <c r="E53" s="4" t="s">
        <v>108</v>
      </c>
      <c r="F53" s="6" t="n">
        <v>2017</v>
      </c>
      <c r="G53" s="6"/>
      <c r="H53" s="4" t="s">
        <v>55</v>
      </c>
      <c r="I53" s="6"/>
      <c r="J53" s="6" t="n">
        <v>1</v>
      </c>
      <c r="K53" s="6" t="n">
        <v>24.4475</v>
      </c>
      <c r="L53" s="6" t="n">
        <v>118.0619444444</v>
      </c>
      <c r="M53" s="4" t="s">
        <v>302</v>
      </c>
      <c r="N53" s="4" t="s">
        <v>303</v>
      </c>
      <c r="O53" s="7" t="s">
        <v>304</v>
      </c>
      <c r="P53" s="7" t="s">
        <v>305</v>
      </c>
      <c r="Q53" s="8"/>
      <c r="R53" s="8"/>
    </row>
    <row r="54" customFormat="false" ht="15" hidden="false" customHeight="false" outlineLevel="0" collapsed="false">
      <c r="A54" s="6" t="n">
        <v>1559</v>
      </c>
      <c r="B54" s="4" t="s">
        <v>306</v>
      </c>
      <c r="C54" s="6" t="s">
        <v>307</v>
      </c>
      <c r="D54" s="4" t="s">
        <v>94</v>
      </c>
      <c r="E54" s="4" t="s">
        <v>214</v>
      </c>
      <c r="F54" s="6" t="n">
        <v>2018</v>
      </c>
      <c r="G54" s="6"/>
      <c r="H54" s="4" t="s">
        <v>55</v>
      </c>
      <c r="I54" s="6"/>
      <c r="J54" s="6" t="n">
        <v>1</v>
      </c>
      <c r="K54" s="6" t="n">
        <v>27.8955555556</v>
      </c>
      <c r="L54" s="6" t="n">
        <v>108.68</v>
      </c>
      <c r="M54" s="6"/>
      <c r="N54" s="6"/>
      <c r="O54" s="7" t="s">
        <v>308</v>
      </c>
      <c r="P54" s="7" t="s">
        <v>309</v>
      </c>
      <c r="Q54" s="8"/>
      <c r="R54" s="8"/>
    </row>
    <row r="55" customFormat="false" ht="15" hidden="false" customHeight="false" outlineLevel="0" collapsed="false">
      <c r="A55" s="6" t="n">
        <v>1592</v>
      </c>
      <c r="B55" s="4" t="s">
        <v>310</v>
      </c>
      <c r="C55" s="6" t="s">
        <v>311</v>
      </c>
      <c r="D55" s="4" t="s">
        <v>60</v>
      </c>
      <c r="E55" s="4" t="s">
        <v>312</v>
      </c>
      <c r="F55" s="6" t="n">
        <v>2019</v>
      </c>
      <c r="G55" s="6"/>
      <c r="H55" s="4" t="s">
        <v>55</v>
      </c>
      <c r="I55" s="6"/>
      <c r="J55" s="6" t="n">
        <v>4</v>
      </c>
      <c r="K55" s="6" t="n">
        <v>30.39555</v>
      </c>
      <c r="L55" s="6" t="n">
        <v>119.990827778</v>
      </c>
      <c r="M55" s="6"/>
      <c r="N55" s="6"/>
      <c r="O55" s="7" t="s">
        <v>313</v>
      </c>
      <c r="P55" s="7" t="s">
        <v>314</v>
      </c>
      <c r="Q55" s="8"/>
      <c r="R55" s="8"/>
    </row>
    <row r="56" customFormat="false" ht="23.85" hidden="false" customHeight="false" outlineLevel="0" collapsed="false">
      <c r="A56" s="6" t="n">
        <v>1606</v>
      </c>
      <c r="B56" s="4" t="s">
        <v>315</v>
      </c>
      <c r="C56" s="6" t="s">
        <v>316</v>
      </c>
      <c r="D56" s="4" t="s">
        <v>94</v>
      </c>
      <c r="E56" s="4" t="s">
        <v>214</v>
      </c>
      <c r="F56" s="6" t="n">
        <v>2019</v>
      </c>
      <c r="G56" s="4" t="s">
        <v>317</v>
      </c>
      <c r="H56" s="4" t="s">
        <v>55</v>
      </c>
      <c r="I56" s="6"/>
      <c r="J56" s="6" t="n">
        <v>12</v>
      </c>
      <c r="K56" s="6" t="n">
        <v>31.5129166667</v>
      </c>
      <c r="L56" s="6" t="n">
        <v>121.999388889</v>
      </c>
      <c r="M56" s="6"/>
      <c r="N56" s="6"/>
      <c r="O56" s="7" t="s">
        <v>318</v>
      </c>
      <c r="P56" s="7" t="s">
        <v>319</v>
      </c>
      <c r="Q56" s="8"/>
      <c r="R56" s="8"/>
    </row>
    <row r="57" customFormat="false" ht="35.05" hidden="false" customHeight="false" outlineLevel="0" collapsed="false">
      <c r="A57" s="6" t="n">
        <v>1561</v>
      </c>
      <c r="B57" s="4" t="s">
        <v>320</v>
      </c>
      <c r="C57" s="6" t="s">
        <v>321</v>
      </c>
      <c r="D57" s="4" t="s">
        <v>60</v>
      </c>
      <c r="E57" s="4" t="s">
        <v>322</v>
      </c>
      <c r="F57" s="6" t="n">
        <v>2021</v>
      </c>
      <c r="G57" s="6"/>
      <c r="H57" s="4" t="s">
        <v>55</v>
      </c>
      <c r="I57" s="6"/>
      <c r="J57" s="6" t="n">
        <v>16</v>
      </c>
      <c r="K57" s="6" t="n">
        <v>24.7102777778</v>
      </c>
      <c r="L57" s="6" t="n">
        <v>118.444166667</v>
      </c>
      <c r="M57" s="4" t="s">
        <v>323</v>
      </c>
      <c r="N57" s="4" t="s">
        <v>324</v>
      </c>
      <c r="O57" s="7" t="s">
        <v>325</v>
      </c>
      <c r="P57" s="7" t="s">
        <v>326</v>
      </c>
      <c r="Q57" s="8"/>
      <c r="R57" s="8"/>
    </row>
    <row r="58" customFormat="false" ht="23.85" hidden="false" customHeight="false" outlineLevel="0" collapsed="false">
      <c r="A58" s="6" t="n">
        <v>1665</v>
      </c>
      <c r="B58" s="4" t="s">
        <v>327</v>
      </c>
      <c r="C58" s="6" t="s">
        <v>328</v>
      </c>
      <c r="D58" s="4" t="s">
        <v>60</v>
      </c>
      <c r="E58" s="4" t="s">
        <v>266</v>
      </c>
      <c r="F58" s="6" t="n">
        <v>2023</v>
      </c>
      <c r="G58" s="6"/>
      <c r="H58" s="4" t="s">
        <v>55</v>
      </c>
      <c r="I58" s="6"/>
      <c r="J58" s="6" t="n">
        <v>1</v>
      </c>
      <c r="K58" s="6" t="n">
        <v>22.1841666667</v>
      </c>
      <c r="L58" s="6" t="n">
        <v>100.0075</v>
      </c>
      <c r="M58" s="6"/>
      <c r="N58" s="6"/>
      <c r="O58" s="7" t="s">
        <v>329</v>
      </c>
      <c r="P58" s="7" t="s">
        <v>330</v>
      </c>
      <c r="Q58" s="8"/>
      <c r="R58" s="8"/>
    </row>
    <row r="59" customFormat="false" ht="15" hidden="false" customHeight="false" outlineLevel="0" collapsed="false">
      <c r="A59" s="6" t="n">
        <v>1638</v>
      </c>
      <c r="B59" s="4" t="s">
        <v>331</v>
      </c>
      <c r="C59" s="6" t="s">
        <v>332</v>
      </c>
      <c r="D59" s="4" t="s">
        <v>94</v>
      </c>
      <c r="E59" s="4" t="s">
        <v>225</v>
      </c>
      <c r="F59" s="6" t="n">
        <v>2024</v>
      </c>
      <c r="G59" s="6"/>
      <c r="H59" s="4" t="s">
        <v>55</v>
      </c>
      <c r="I59" s="6"/>
      <c r="J59" s="6" t="n">
        <v>1</v>
      </c>
      <c r="K59" s="6" t="n">
        <v>39.8897222222</v>
      </c>
      <c r="L59" s="6" t="n">
        <v>102.2894444444</v>
      </c>
      <c r="M59" s="6"/>
      <c r="N59" s="6"/>
      <c r="O59" s="7" t="s">
        <v>333</v>
      </c>
      <c r="P59" s="7" t="s">
        <v>334</v>
      </c>
      <c r="Q59" s="8"/>
      <c r="R59" s="8"/>
    </row>
    <row r="60" customFormat="false" ht="29.85" hidden="false" customHeight="false" outlineLevel="0" collapsed="false">
      <c r="A60" s="6" t="n">
        <v>1714</v>
      </c>
      <c r="B60" s="4" t="s">
        <v>335</v>
      </c>
      <c r="C60" s="6" t="s">
        <v>336</v>
      </c>
      <c r="D60" s="4" t="s">
        <v>60</v>
      </c>
      <c r="E60" s="4" t="s">
        <v>312</v>
      </c>
      <c r="F60" s="6" t="n">
        <v>2024</v>
      </c>
      <c r="G60" s="6"/>
      <c r="H60" s="4" t="s">
        <v>55</v>
      </c>
      <c r="I60" s="6"/>
      <c r="J60" s="6" t="n">
        <v>1</v>
      </c>
      <c r="K60" s="6" t="n">
        <v>39.9072222222</v>
      </c>
      <c r="L60" s="6" t="n">
        <v>116.3913888889</v>
      </c>
      <c r="M60" s="6"/>
      <c r="N60" s="6"/>
      <c r="O60" s="7" t="s">
        <v>337</v>
      </c>
      <c r="P60" s="7" t="s">
        <v>338</v>
      </c>
      <c r="Q60" s="8"/>
      <c r="R60" s="8"/>
    </row>
    <row r="61" customFormat="false" ht="23.85" hidden="false" customHeight="false" outlineLevel="0" collapsed="false">
      <c r="A61" s="6" t="n">
        <v>1736</v>
      </c>
      <c r="B61" s="4" t="s">
        <v>339</v>
      </c>
      <c r="C61" s="6" t="s">
        <v>340</v>
      </c>
      <c r="D61" s="4" t="s">
        <v>60</v>
      </c>
      <c r="E61" s="4" t="s">
        <v>285</v>
      </c>
      <c r="F61" s="6" t="n">
        <v>2025</v>
      </c>
      <c r="G61" s="6"/>
      <c r="H61" s="4" t="s">
        <v>55</v>
      </c>
      <c r="I61" s="6"/>
      <c r="J61" s="6" t="n">
        <v>1</v>
      </c>
      <c r="K61" s="6" t="n">
        <v>38.4158333333</v>
      </c>
      <c r="L61" s="6" t="n">
        <v>105.9711111111</v>
      </c>
      <c r="M61" s="4" t="s">
        <v>73</v>
      </c>
      <c r="N61" s="4" t="s">
        <v>341</v>
      </c>
      <c r="O61" s="7" t="s">
        <v>342</v>
      </c>
      <c r="P61" s="7" t="s">
        <v>343</v>
      </c>
      <c r="Q61" s="8"/>
      <c r="R61" s="8"/>
    </row>
    <row r="62" customFormat="false" ht="35.05" hidden="false" customHeight="false" outlineLevel="0" collapsed="false">
      <c r="A62" s="6" t="n">
        <v>1765</v>
      </c>
      <c r="B62" s="4" t="s">
        <v>344</v>
      </c>
      <c r="C62" s="6" t="s">
        <v>345</v>
      </c>
      <c r="D62" s="4" t="s">
        <v>60</v>
      </c>
      <c r="E62" s="4" t="s">
        <v>128</v>
      </c>
      <c r="F62" s="6" t="n">
        <v>2026</v>
      </c>
      <c r="G62" s="6"/>
      <c r="H62" s="4" t="s">
        <v>55</v>
      </c>
      <c r="I62" s="6"/>
      <c r="J62" s="6" t="n">
        <v>5</v>
      </c>
      <c r="K62" s="6" t="n">
        <v>29.2863888889</v>
      </c>
      <c r="L62" s="6" t="n">
        <v>117.243333333</v>
      </c>
      <c r="M62" s="4" t="s">
        <v>346</v>
      </c>
      <c r="N62" s="4" t="s">
        <v>347</v>
      </c>
      <c r="O62" s="7" t="s">
        <v>348</v>
      </c>
      <c r="P62" s="7" t="s">
        <v>349</v>
      </c>
      <c r="Q62" s="8"/>
      <c r="R62" s="8"/>
    </row>
  </sheetData>
  <autoFilter ref="A1:R62"/>
  <hyperlinks>
    <hyperlink ref="O2" r:id="rId1" display="https://whc.unesco.org/en/list/437/"/>
    <hyperlink ref="P2" r:id="rId2" display="https://whc.unesco.org/en/list/437/documents/"/>
    <hyperlink ref="O3" r:id="rId3" display="https://whc.unesco.org/en/list/438/"/>
    <hyperlink ref="P3" r:id="rId4" display="https://whc.unesco.org/en/list/438/documents/"/>
    <hyperlink ref="O4" r:id="rId5" display="https://whc.unesco.org/en/list/439/"/>
    <hyperlink ref="P4" r:id="rId6" display="https://whc.unesco.org/en/list/439/documents/"/>
    <hyperlink ref="O5" r:id="rId7" display="https://whc.unesco.org/en/list/440/"/>
    <hyperlink ref="P5" r:id="rId8" display="https://whc.unesco.org/en/list/440/documents/"/>
    <hyperlink ref="O6" r:id="rId9" display="https://whc.unesco.org/en/list/441/"/>
    <hyperlink ref="P6" r:id="rId10" display="https://whc.unesco.org/en/list/441/documents/"/>
    <hyperlink ref="O7" r:id="rId11" display="https://whc.unesco.org/en/list/449/"/>
    <hyperlink ref="P7" r:id="rId12" display="https://whc.unesco.org/en/list/449/documents/"/>
    <hyperlink ref="O8" r:id="rId13" display="https://whc.unesco.org/en/list/547/"/>
    <hyperlink ref="P8" r:id="rId14" display="https://whc.unesco.org/en/list/547/documents/"/>
    <hyperlink ref="O9" r:id="rId15" display="https://whc.unesco.org/en/list/637/"/>
    <hyperlink ref="P9" r:id="rId16" display="https://whc.unesco.org/en/list/637/documents/"/>
    <hyperlink ref="O10" r:id="rId17" display="https://whc.unesco.org/en/list/638/"/>
    <hyperlink ref="P10" r:id="rId18" display="https://whc.unesco.org/en/list/638/documents/"/>
    <hyperlink ref="O11" r:id="rId19" display="https://whc.unesco.org/en/list/640/"/>
    <hyperlink ref="P11" r:id="rId20" display="https://whc.unesco.org/en/list/640/documents/"/>
    <hyperlink ref="O12" r:id="rId21" display="https://whc.unesco.org/en/list/703/"/>
    <hyperlink ref="P12" r:id="rId22" display="https://whc.unesco.org/en/list/703/documents/"/>
    <hyperlink ref="O13" r:id="rId23" display="https://whc.unesco.org/en/list/704/"/>
    <hyperlink ref="P13" r:id="rId24" display="https://whc.unesco.org/en/list/704/documents/"/>
    <hyperlink ref="O14" r:id="rId25" display="https://whc.unesco.org/en/list/705/"/>
    <hyperlink ref="P14" r:id="rId26" display="https://whc.unesco.org/en/list/705/documents/"/>
    <hyperlink ref="O15" r:id="rId27" display="https://whc.unesco.org/en/list/707/"/>
    <hyperlink ref="P15" r:id="rId28" display="https://whc.unesco.org/en/list/707/documents/"/>
    <hyperlink ref="O16" r:id="rId29" display="https://whc.unesco.org/en/list/778/"/>
    <hyperlink ref="P16" r:id="rId30" display="https://whc.unesco.org/en/list/778/documents/"/>
    <hyperlink ref="O17" r:id="rId31" display="https://whc.unesco.org/en/list/779/"/>
    <hyperlink ref="P17" r:id="rId32" display="https://whc.unesco.org/en/list/779/documents/"/>
    <hyperlink ref="O18" r:id="rId33" display="https://whc.unesco.org/en/list/811/"/>
    <hyperlink ref="P18" r:id="rId34" display="https://whc.unesco.org/en/list/811/documents/"/>
    <hyperlink ref="O19" r:id="rId35" display="https://whc.unesco.org/en/list/812/"/>
    <hyperlink ref="P19" r:id="rId36" display="https://whc.unesco.org/en/list/812/documents/"/>
    <hyperlink ref="O20" r:id="rId37" display="https://whc.unesco.org/en/list/813/"/>
    <hyperlink ref="P20" r:id="rId38" display="https://whc.unesco.org/en/list/813/documents/"/>
    <hyperlink ref="O21" r:id="rId39" display="https://whc.unesco.org/en/list/880/"/>
    <hyperlink ref="P21" r:id="rId40" display="https://whc.unesco.org/en/list/880/documents/"/>
    <hyperlink ref="O22" r:id="rId41" display="https://whc.unesco.org/en/list/881/"/>
    <hyperlink ref="P22" r:id="rId42" display="https://whc.unesco.org/en/list/881/documents/"/>
    <hyperlink ref="O23" r:id="rId43" display="https://whc.unesco.org/en/list/911/"/>
    <hyperlink ref="P23" r:id="rId44" display="https://whc.unesco.org/en/list/911/documents/"/>
    <hyperlink ref="O24" r:id="rId45" display="https://whc.unesco.org/en/list/912/"/>
    <hyperlink ref="P24" r:id="rId46" display="https://whc.unesco.org/en/list/912/documents/"/>
    <hyperlink ref="O25" r:id="rId47" display="https://whc.unesco.org/en/list/1001/"/>
    <hyperlink ref="P25" r:id="rId48" display="https://whc.unesco.org/en/list/1001/documents/"/>
    <hyperlink ref="O26" r:id="rId49" display="https://whc.unesco.org/en/list/1002/"/>
    <hyperlink ref="P26" r:id="rId50" display="https://whc.unesco.org/en/list/1002/documents/"/>
    <hyperlink ref="O27" r:id="rId51" display="https://whc.unesco.org/en/list/1003/"/>
    <hyperlink ref="P27" r:id="rId52" display="https://whc.unesco.org/en/list/1003/documents/"/>
    <hyperlink ref="O28" r:id="rId53" display="https://whc.unesco.org/en/list/1004/"/>
    <hyperlink ref="P28" r:id="rId54" display="https://whc.unesco.org/en/list/1004/documents/"/>
    <hyperlink ref="O29" r:id="rId55" display="https://whc.unesco.org/en/list/1039/"/>
    <hyperlink ref="P29" r:id="rId56" display="https://whc.unesco.org/en/list/1039/documents/"/>
    <hyperlink ref="O30" r:id="rId57" display="https://whc.unesco.org/en/list/1083/"/>
    <hyperlink ref="P30" r:id="rId58" display="https://whc.unesco.org/en/list/1083/documents/"/>
    <hyperlink ref="O31" r:id="rId59" display="https://whc.unesco.org/en/list/1135/"/>
    <hyperlink ref="P31" r:id="rId60" display="https://whc.unesco.org/en/list/1135/documents/"/>
    <hyperlink ref="O32" r:id="rId61" display="https://whc.unesco.org/en/list/1110/"/>
    <hyperlink ref="P32" r:id="rId62" display="https://whc.unesco.org/en/list/1110/documents/"/>
    <hyperlink ref="O33" r:id="rId63" display="https://whc.unesco.org/en/list/1114/"/>
    <hyperlink ref="P33" r:id="rId64" display="https://whc.unesco.org/en/list/1114/documents/"/>
    <hyperlink ref="O34" r:id="rId65" display="https://whc.unesco.org/en/list/1213/"/>
    <hyperlink ref="P34" r:id="rId66" display="https://whc.unesco.org/en/list/1213/documents/"/>
    <hyperlink ref="O35" r:id="rId67" display="https://whc.unesco.org/en/list/1112/"/>
    <hyperlink ref="P35" r:id="rId68" display="https://whc.unesco.org/en/list/1112/documents/"/>
    <hyperlink ref="O36" r:id="rId69" display="https://whc.unesco.org/en/list/1248/"/>
    <hyperlink ref="P36" r:id="rId70" display="https://whc.unesco.org/en/list/1248/documents/"/>
    <hyperlink ref="O37" r:id="rId71" display="https://whc.unesco.org/en/list/1113/"/>
    <hyperlink ref="P37" r:id="rId72" display="https://whc.unesco.org/en/list/1113/documents/"/>
    <hyperlink ref="O38" r:id="rId73" display="https://whc.unesco.org/en/list/1292/"/>
    <hyperlink ref="P38" r:id="rId74" display="https://whc.unesco.org/en/list/1292/documents/"/>
    <hyperlink ref="O39" r:id="rId75" display="https://whc.unesco.org/en/list/1279/"/>
    <hyperlink ref="P39" r:id="rId76" display="https://whc.unesco.org/en/list/1279/documents/"/>
    <hyperlink ref="O40" r:id="rId77" display="https://whc.unesco.org/en/list/1305/"/>
    <hyperlink ref="P40" r:id="rId78" display="https://whc.unesco.org/en/list/1305/documents/"/>
    <hyperlink ref="O41" r:id="rId79" display="https://whc.unesco.org/en/list/1335/"/>
    <hyperlink ref="P41" r:id="rId80" display="https://whc.unesco.org/en/list/1335/documents/"/>
    <hyperlink ref="O42" r:id="rId81" display="https://whc.unesco.org/en/list/1334/"/>
    <hyperlink ref="P42" r:id="rId82" display="https://whc.unesco.org/en/list/1334/documents/"/>
    <hyperlink ref="O43" r:id="rId83" display="https://whc.unesco.org/en/list/1388/"/>
    <hyperlink ref="P43" r:id="rId84" display="https://whc.unesco.org/en/list/1388/documents/"/>
    <hyperlink ref="O44" r:id="rId85" display="https://whc.unesco.org/en/list/1389/"/>
    <hyperlink ref="P44" r:id="rId86" display="https://whc.unesco.org/en/list/1389/documents/"/>
    <hyperlink ref="O45" r:id="rId87" display="https://whc.unesco.org/en/list/1111/"/>
    <hyperlink ref="P45" r:id="rId88" display="https://whc.unesco.org/en/list/1111/documents/"/>
    <hyperlink ref="O46" r:id="rId89" display="https://whc.unesco.org/en/list/1414/"/>
    <hyperlink ref="P46" r:id="rId90" display="https://whc.unesco.org/en/list/1414/documents/"/>
    <hyperlink ref="O47" r:id="rId91" display="https://whc.unesco.org/en/list/1442/"/>
    <hyperlink ref="P47" r:id="rId92" display="https://whc.unesco.org/en/list/1442/documents/"/>
    <hyperlink ref="O48" r:id="rId93" display="https://whc.unesco.org/en/list/1443/"/>
    <hyperlink ref="P48" r:id="rId94" display="https://whc.unesco.org/en/list/1443/documents/"/>
    <hyperlink ref="O49" r:id="rId95" display="https://whc.unesco.org/en/list/1474/"/>
    <hyperlink ref="P49" r:id="rId96" display="https://whc.unesco.org/en/list/1474/documents/"/>
    <hyperlink ref="O50" r:id="rId97" display="https://whc.unesco.org/en/list/1508/"/>
    <hyperlink ref="P50" r:id="rId98" display="https://whc.unesco.org/en/list/1508/documents/"/>
    <hyperlink ref="O51" r:id="rId99" display="https://whc.unesco.org/en/list/1509/"/>
    <hyperlink ref="P51" r:id="rId100" display="https://whc.unesco.org/en/list/1509/documents/"/>
    <hyperlink ref="O52" r:id="rId101" display="https://whc.unesco.org/en/list/1540/"/>
    <hyperlink ref="P52" r:id="rId102" display="https://whc.unesco.org/en/list/1540/documents/"/>
    <hyperlink ref="O53" r:id="rId103" display="https://whc.unesco.org/en/list/1541/"/>
    <hyperlink ref="P53" r:id="rId104" display="https://whc.unesco.org/en/list/1541/documents/"/>
    <hyperlink ref="O54" r:id="rId105" display="https://whc.unesco.org/en/list/1559/"/>
    <hyperlink ref="P54" r:id="rId106" display="https://whc.unesco.org/en/list/1559/documents/"/>
    <hyperlink ref="O55" r:id="rId107" display="https://whc.unesco.org/en/list/1592/"/>
    <hyperlink ref="P55" r:id="rId108" display="https://whc.unesco.org/en/list/1592/documents/"/>
    <hyperlink ref="O56" r:id="rId109" display="https://whc.unesco.org/en/list/1606/"/>
    <hyperlink ref="P56" r:id="rId110" display="https://whc.unesco.org/en/list/1606/documents/"/>
    <hyperlink ref="O57" r:id="rId111" display="https://whc.unesco.org/en/list/1561/"/>
    <hyperlink ref="P57" r:id="rId112" display="https://whc.unesco.org/en/list/1561/documents/"/>
    <hyperlink ref="O58" r:id="rId113" display="https://whc.unesco.org/en/list/1665/"/>
    <hyperlink ref="P58" r:id="rId114" display="https://whc.unesco.org/en/list/1665/documents/"/>
    <hyperlink ref="O59" r:id="rId115" display="https://whc.unesco.org/en/list/1638/"/>
    <hyperlink ref="P59" r:id="rId116" display="https://whc.unesco.org/en/list/1638/documents/"/>
    <hyperlink ref="O60" r:id="rId117" display="https://whc.unesco.org/en/list/1714/"/>
    <hyperlink ref="P60" r:id="rId118" display="https://whc.unesco.org/en/list/1714/documents/"/>
    <hyperlink ref="O61" r:id="rId119" display="https://whc.unesco.org/en/list/1736/"/>
    <hyperlink ref="P61" r:id="rId120" display="https://whc.unesco.org/en/list/1736/documents/"/>
    <hyperlink ref="O62" r:id="rId121" display="https://whc.unesco.org/en/list/1765/"/>
    <hyperlink ref="P62" r:id="rId122" display="https://whc.unesco.org/en/list/1765/docum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10"/>
    <col collapsed="false" customWidth="true" hidden="false" outlineLevel="0" max="4" min="4" style="0" width="20"/>
    <col collapsed="false" customWidth="true" hidden="false" outlineLevel="0" max="5" min="5" style="0" width="60"/>
    <col collapsed="false" customWidth="true" hidden="false" outlineLevel="0" max="6" min="6" style="0" width="36"/>
    <col collapsed="false" customWidth="true" hidden="false" outlineLevel="0" max="7" min="7" style="0" width="26"/>
    <col collapsed="false" customWidth="true" hidden="false" outlineLevel="0" max="8" min="8" style="0" width="14"/>
  </cols>
  <sheetData>
    <row r="1" customFormat="false" ht="31.5" hidden="false" customHeight="true" outlineLevel="0" collapsed="false">
      <c r="A1" s="5" t="s">
        <v>350</v>
      </c>
      <c r="B1" s="5" t="s">
        <v>351</v>
      </c>
      <c r="C1" s="5" t="s">
        <v>352</v>
      </c>
      <c r="D1" s="5" t="s">
        <v>353</v>
      </c>
      <c r="E1" s="5" t="s">
        <v>354</v>
      </c>
      <c r="F1" s="5" t="s">
        <v>355</v>
      </c>
      <c r="G1" s="5" t="s">
        <v>49</v>
      </c>
      <c r="H1" s="5" t="s">
        <v>50</v>
      </c>
    </row>
    <row r="2" customFormat="false" ht="15" hidden="false" customHeight="false" outlineLevel="0" collapsed="false">
      <c r="A2" s="6" t="n">
        <v>105</v>
      </c>
      <c r="B2" s="4" t="s">
        <v>356</v>
      </c>
      <c r="C2" s="6" t="n">
        <v>1996</v>
      </c>
      <c r="D2" s="6"/>
      <c r="E2" s="6"/>
      <c r="F2" s="7" t="s">
        <v>357</v>
      </c>
      <c r="G2" s="8"/>
      <c r="H2" s="8"/>
    </row>
    <row r="3" customFormat="false" ht="15" hidden="false" customHeight="false" outlineLevel="0" collapsed="false">
      <c r="A3" s="6" t="n">
        <v>106</v>
      </c>
      <c r="B3" s="4" t="s">
        <v>358</v>
      </c>
      <c r="C3" s="6" t="n">
        <v>1996</v>
      </c>
      <c r="D3" s="6"/>
      <c r="E3" s="6"/>
      <c r="F3" s="7" t="s">
        <v>359</v>
      </c>
      <c r="G3" s="8"/>
      <c r="H3" s="8"/>
    </row>
    <row r="4" customFormat="false" ht="15" hidden="false" customHeight="false" outlineLevel="0" collapsed="false">
      <c r="A4" s="6" t="n">
        <v>107</v>
      </c>
      <c r="B4" s="4" t="s">
        <v>360</v>
      </c>
      <c r="C4" s="6" t="n">
        <v>1996</v>
      </c>
      <c r="D4" s="6"/>
      <c r="E4" s="6"/>
      <c r="F4" s="7" t="s">
        <v>361</v>
      </c>
      <c r="G4" s="8"/>
      <c r="H4" s="8"/>
    </row>
    <row r="5" customFormat="false" ht="15" hidden="false" customHeight="false" outlineLevel="0" collapsed="false">
      <c r="A5" s="6" t="n">
        <v>108</v>
      </c>
      <c r="B5" s="4" t="s">
        <v>362</v>
      </c>
      <c r="C5" s="6" t="n">
        <v>1996</v>
      </c>
      <c r="D5" s="6"/>
      <c r="E5" s="6"/>
      <c r="F5" s="7" t="s">
        <v>363</v>
      </c>
      <c r="G5" s="8"/>
      <c r="H5" s="8"/>
    </row>
    <row r="6" customFormat="false" ht="15" hidden="false" customHeight="false" outlineLevel="0" collapsed="false">
      <c r="A6" s="6" t="n">
        <v>1622</v>
      </c>
      <c r="B6" s="4" t="s">
        <v>364</v>
      </c>
      <c r="C6" s="6" t="n">
        <v>2001</v>
      </c>
      <c r="D6" s="6"/>
      <c r="E6" s="6"/>
      <c r="F6" s="7" t="s">
        <v>365</v>
      </c>
      <c r="G6" s="8"/>
      <c r="H6" s="8"/>
    </row>
    <row r="7" customFormat="false" ht="15" hidden="false" customHeight="false" outlineLevel="0" collapsed="false">
      <c r="A7" s="6" t="n">
        <v>1623</v>
      </c>
      <c r="B7" s="4" t="s">
        <v>366</v>
      </c>
      <c r="C7" s="6" t="n">
        <v>2001</v>
      </c>
      <c r="D7" s="6"/>
      <c r="E7" s="6"/>
      <c r="F7" s="7" t="s">
        <v>367</v>
      </c>
      <c r="G7" s="8"/>
      <c r="H7" s="8"/>
    </row>
    <row r="8" customFormat="false" ht="15" hidden="false" customHeight="false" outlineLevel="0" collapsed="false">
      <c r="A8" s="6" t="n">
        <v>1624</v>
      </c>
      <c r="B8" s="4" t="s">
        <v>368</v>
      </c>
      <c r="C8" s="6" t="n">
        <v>2001</v>
      </c>
      <c r="D8" s="6"/>
      <c r="E8" s="6"/>
      <c r="F8" s="7" t="s">
        <v>369</v>
      </c>
      <c r="G8" s="8"/>
      <c r="H8" s="8"/>
    </row>
    <row r="9" customFormat="false" ht="15" hidden="false" customHeight="false" outlineLevel="0" collapsed="false">
      <c r="A9" s="6" t="n">
        <v>1625</v>
      </c>
      <c r="B9" s="4" t="s">
        <v>370</v>
      </c>
      <c r="C9" s="6" t="n">
        <v>2001</v>
      </c>
      <c r="D9" s="6"/>
      <c r="E9" s="6"/>
      <c r="F9" s="7" t="s">
        <v>371</v>
      </c>
      <c r="G9" s="8"/>
      <c r="H9" s="8"/>
    </row>
    <row r="10" customFormat="false" ht="15" hidden="false" customHeight="false" outlineLevel="0" collapsed="false">
      <c r="A10" s="6" t="n">
        <v>1626</v>
      </c>
      <c r="B10" s="4" t="s">
        <v>372</v>
      </c>
      <c r="C10" s="6" t="n">
        <v>2001</v>
      </c>
      <c r="D10" s="6"/>
      <c r="E10" s="6"/>
      <c r="F10" s="7" t="s">
        <v>373</v>
      </c>
      <c r="G10" s="8"/>
      <c r="H10" s="8"/>
    </row>
    <row r="11" customFormat="false" ht="15" hidden="false" customHeight="false" outlineLevel="0" collapsed="false">
      <c r="A11" s="6" t="n">
        <v>1627</v>
      </c>
      <c r="B11" s="4" t="s">
        <v>374</v>
      </c>
      <c r="C11" s="6" t="n">
        <v>2001</v>
      </c>
      <c r="D11" s="6"/>
      <c r="E11" s="6"/>
      <c r="F11" s="7" t="s">
        <v>375</v>
      </c>
      <c r="G11" s="8"/>
      <c r="H11" s="8"/>
    </row>
    <row r="12" customFormat="false" ht="15" hidden="false" customHeight="false" outlineLevel="0" collapsed="false">
      <c r="A12" s="6" t="n">
        <v>1629</v>
      </c>
      <c r="B12" s="4" t="s">
        <v>376</v>
      </c>
      <c r="C12" s="6" t="n">
        <v>2001</v>
      </c>
      <c r="D12" s="6"/>
      <c r="E12" s="6"/>
      <c r="F12" s="7" t="s">
        <v>377</v>
      </c>
      <c r="G12" s="8"/>
      <c r="H12" s="8"/>
    </row>
    <row r="13" customFormat="false" ht="15" hidden="false" customHeight="false" outlineLevel="0" collapsed="false">
      <c r="A13" s="6" t="n">
        <v>1631</v>
      </c>
      <c r="B13" s="4" t="s">
        <v>378</v>
      </c>
      <c r="C13" s="6" t="n">
        <v>2001</v>
      </c>
      <c r="D13" s="6"/>
      <c r="E13" s="6"/>
      <c r="F13" s="7" t="s">
        <v>379</v>
      </c>
      <c r="G13" s="8"/>
      <c r="H13" s="8"/>
    </row>
    <row r="14" customFormat="false" ht="15" hidden="false" customHeight="false" outlineLevel="0" collapsed="false">
      <c r="A14" s="6" t="n">
        <v>1632</v>
      </c>
      <c r="B14" s="4" t="s">
        <v>380</v>
      </c>
      <c r="C14" s="6" t="n">
        <v>2001</v>
      </c>
      <c r="D14" s="6"/>
      <c r="E14" s="6"/>
      <c r="F14" s="7" t="s">
        <v>381</v>
      </c>
      <c r="G14" s="8"/>
      <c r="H14" s="8"/>
    </row>
    <row r="15" customFormat="false" ht="15" hidden="false" customHeight="false" outlineLevel="0" collapsed="false">
      <c r="A15" s="6" t="n">
        <v>1633</v>
      </c>
      <c r="B15" s="4" t="s">
        <v>382</v>
      </c>
      <c r="C15" s="6" t="n">
        <v>2001</v>
      </c>
      <c r="D15" s="6"/>
      <c r="E15" s="6"/>
      <c r="F15" s="7" t="s">
        <v>383</v>
      </c>
      <c r="G15" s="8"/>
      <c r="H15" s="8"/>
    </row>
    <row r="16" customFormat="false" ht="15" hidden="false" customHeight="false" outlineLevel="0" collapsed="false">
      <c r="A16" s="6" t="n">
        <v>1634</v>
      </c>
      <c r="B16" s="4" t="s">
        <v>384</v>
      </c>
      <c r="C16" s="6" t="n">
        <v>2001</v>
      </c>
      <c r="D16" s="6"/>
      <c r="E16" s="6"/>
      <c r="F16" s="7" t="s">
        <v>385</v>
      </c>
      <c r="G16" s="8"/>
      <c r="H16" s="8"/>
    </row>
    <row r="17" customFormat="false" ht="15" hidden="false" customHeight="false" outlineLevel="0" collapsed="false">
      <c r="A17" s="6" t="n">
        <v>5320</v>
      </c>
      <c r="B17" s="4" t="s">
        <v>386</v>
      </c>
      <c r="C17" s="6" t="n">
        <v>2008</v>
      </c>
      <c r="D17" s="6"/>
      <c r="E17" s="6"/>
      <c r="F17" s="7" t="s">
        <v>387</v>
      </c>
      <c r="G17" s="8"/>
      <c r="H17" s="8"/>
    </row>
    <row r="18" customFormat="false" ht="15" hidden="false" customHeight="false" outlineLevel="0" collapsed="false">
      <c r="A18" s="6" t="n">
        <v>5322</v>
      </c>
      <c r="B18" s="4" t="s">
        <v>388</v>
      </c>
      <c r="C18" s="6" t="n">
        <v>2008</v>
      </c>
      <c r="D18" s="6"/>
      <c r="E18" s="6"/>
      <c r="F18" s="7" t="s">
        <v>389</v>
      </c>
      <c r="G18" s="8"/>
      <c r="H18" s="8"/>
    </row>
    <row r="19" customFormat="false" ht="15" hidden="false" customHeight="false" outlineLevel="0" collapsed="false">
      <c r="A19" s="6" t="n">
        <v>5324</v>
      </c>
      <c r="B19" s="4" t="s">
        <v>390</v>
      </c>
      <c r="C19" s="6" t="n">
        <v>2008</v>
      </c>
      <c r="D19" s="6"/>
      <c r="E19" s="6"/>
      <c r="F19" s="7" t="s">
        <v>391</v>
      </c>
      <c r="G19" s="8"/>
      <c r="H19" s="8"/>
    </row>
    <row r="20" customFormat="false" ht="15" hidden="false" customHeight="false" outlineLevel="0" collapsed="false">
      <c r="A20" s="6" t="n">
        <v>5327</v>
      </c>
      <c r="B20" s="4" t="s">
        <v>392</v>
      </c>
      <c r="C20" s="6" t="n">
        <v>2008</v>
      </c>
      <c r="D20" s="6"/>
      <c r="E20" s="6"/>
      <c r="F20" s="7" t="s">
        <v>393</v>
      </c>
      <c r="G20" s="8"/>
      <c r="H20" s="8"/>
    </row>
    <row r="21" customFormat="false" ht="15" hidden="false" customHeight="false" outlineLevel="0" collapsed="false">
      <c r="A21" s="6" t="n">
        <v>5328</v>
      </c>
      <c r="B21" s="4" t="s">
        <v>394</v>
      </c>
      <c r="C21" s="6" t="n">
        <v>2008</v>
      </c>
      <c r="D21" s="6"/>
      <c r="E21" s="6"/>
      <c r="F21" s="7" t="s">
        <v>395</v>
      </c>
      <c r="G21" s="8"/>
      <c r="H21" s="8"/>
    </row>
    <row r="22" customFormat="false" ht="57.45" hidden="false" customHeight="false" outlineLevel="0" collapsed="false">
      <c r="A22" s="6" t="n">
        <v>5335</v>
      </c>
      <c r="B22" s="4" t="s">
        <v>396</v>
      </c>
      <c r="C22" s="6" t="n">
        <v>2008</v>
      </c>
      <c r="D22" s="4" t="s">
        <v>397</v>
      </c>
      <c r="E22" s="4" t="s">
        <v>398</v>
      </c>
      <c r="F22" s="7" t="s">
        <v>399</v>
      </c>
      <c r="G22" s="8"/>
      <c r="H22" s="8"/>
    </row>
    <row r="23" customFormat="false" ht="15" hidden="false" customHeight="false" outlineLevel="0" collapsed="false">
      <c r="A23" s="6" t="n">
        <v>5337</v>
      </c>
      <c r="B23" s="4" t="s">
        <v>400</v>
      </c>
      <c r="C23" s="6" t="n">
        <v>2008</v>
      </c>
      <c r="D23" s="6"/>
      <c r="E23" s="6"/>
      <c r="F23" s="7" t="s">
        <v>401</v>
      </c>
      <c r="G23" s="8"/>
      <c r="H23" s="8"/>
    </row>
    <row r="24" customFormat="false" ht="15" hidden="false" customHeight="false" outlineLevel="0" collapsed="false">
      <c r="A24" s="6" t="n">
        <v>5338</v>
      </c>
      <c r="B24" s="4" t="s">
        <v>402</v>
      </c>
      <c r="C24" s="6" t="n">
        <v>2008</v>
      </c>
      <c r="D24" s="6"/>
      <c r="E24" s="6"/>
      <c r="F24" s="7" t="s">
        <v>403</v>
      </c>
      <c r="G24" s="8"/>
      <c r="H24" s="8"/>
    </row>
    <row r="25" customFormat="false" ht="15" hidden="false" customHeight="false" outlineLevel="0" collapsed="false">
      <c r="A25" s="6" t="n">
        <v>5341</v>
      </c>
      <c r="B25" s="4" t="s">
        <v>404</v>
      </c>
      <c r="C25" s="6" t="n">
        <v>2008</v>
      </c>
      <c r="D25" s="6"/>
      <c r="E25" s="6"/>
      <c r="F25" s="7" t="s">
        <v>405</v>
      </c>
      <c r="G25" s="8"/>
      <c r="H25" s="8"/>
    </row>
    <row r="26" customFormat="false" ht="23.85" hidden="false" customHeight="false" outlineLevel="0" collapsed="false">
      <c r="A26" s="6" t="n">
        <v>5344</v>
      </c>
      <c r="B26" s="4" t="s">
        <v>406</v>
      </c>
      <c r="C26" s="6" t="n">
        <v>2008</v>
      </c>
      <c r="D26" s="6"/>
      <c r="E26" s="6"/>
      <c r="F26" s="7" t="s">
        <v>407</v>
      </c>
      <c r="G26" s="8"/>
      <c r="H26" s="8"/>
    </row>
    <row r="27" customFormat="false" ht="15" hidden="false" customHeight="false" outlineLevel="0" collapsed="false">
      <c r="A27" s="6" t="n">
        <v>5347</v>
      </c>
      <c r="B27" s="4" t="s">
        <v>408</v>
      </c>
      <c r="C27" s="6" t="n">
        <v>2008</v>
      </c>
      <c r="D27" s="6"/>
      <c r="E27" s="6"/>
      <c r="F27" s="7" t="s">
        <v>409</v>
      </c>
      <c r="G27" s="8"/>
      <c r="H27" s="8"/>
    </row>
    <row r="28" customFormat="false" ht="23.85" hidden="false" customHeight="false" outlineLevel="0" collapsed="false">
      <c r="A28" s="6" t="n">
        <v>5351</v>
      </c>
      <c r="B28" s="4" t="s">
        <v>410</v>
      </c>
      <c r="C28" s="6" t="n">
        <v>2008</v>
      </c>
      <c r="D28" s="6"/>
      <c r="E28" s="6"/>
      <c r="F28" s="7" t="s">
        <v>411</v>
      </c>
      <c r="G28" s="8"/>
      <c r="H28" s="8"/>
    </row>
    <row r="29" customFormat="false" ht="15" hidden="false" customHeight="false" outlineLevel="0" collapsed="false">
      <c r="A29" s="6" t="n">
        <v>5353</v>
      </c>
      <c r="B29" s="4" t="s">
        <v>412</v>
      </c>
      <c r="C29" s="6" t="n">
        <v>2008</v>
      </c>
      <c r="D29" s="6"/>
      <c r="E29" s="6"/>
      <c r="F29" s="7" t="s">
        <v>413</v>
      </c>
      <c r="G29" s="8"/>
      <c r="H29" s="8"/>
    </row>
    <row r="30" customFormat="false" ht="15" hidden="false" customHeight="false" outlineLevel="0" collapsed="false">
      <c r="A30" s="6" t="n">
        <v>5532</v>
      </c>
      <c r="B30" s="4" t="s">
        <v>414</v>
      </c>
      <c r="C30" s="6" t="n">
        <v>2010</v>
      </c>
      <c r="D30" s="6"/>
      <c r="E30" s="6"/>
      <c r="F30" s="7" t="s">
        <v>415</v>
      </c>
      <c r="G30" s="8"/>
      <c r="H30" s="8"/>
    </row>
    <row r="31" customFormat="false" ht="15" hidden="false" customHeight="false" outlineLevel="0" collapsed="false">
      <c r="A31" s="6" t="n">
        <v>5533</v>
      </c>
      <c r="B31" s="4" t="s">
        <v>416</v>
      </c>
      <c r="C31" s="6" t="n">
        <v>2010</v>
      </c>
      <c r="D31" s="6"/>
      <c r="E31" s="6"/>
      <c r="F31" s="7" t="s">
        <v>417</v>
      </c>
      <c r="G31" s="8"/>
      <c r="H31" s="8"/>
    </row>
    <row r="32" customFormat="false" ht="15" hidden="false" customHeight="false" outlineLevel="0" collapsed="false">
      <c r="A32" s="6" t="n">
        <v>5535</v>
      </c>
      <c r="B32" s="4" t="s">
        <v>418</v>
      </c>
      <c r="C32" s="6" t="n">
        <v>2010</v>
      </c>
      <c r="D32" s="6"/>
      <c r="E32" s="6"/>
      <c r="F32" s="7" t="s">
        <v>419</v>
      </c>
      <c r="G32" s="8"/>
      <c r="H32" s="8"/>
    </row>
    <row r="33" customFormat="false" ht="23.85" hidden="false" customHeight="false" outlineLevel="0" collapsed="false">
      <c r="A33" s="6" t="n">
        <v>5803</v>
      </c>
      <c r="B33" s="4" t="s">
        <v>420</v>
      </c>
      <c r="C33" s="6" t="n">
        <v>2013</v>
      </c>
      <c r="D33" s="6"/>
      <c r="E33" s="6"/>
      <c r="F33" s="7" t="s">
        <v>421</v>
      </c>
      <c r="G33" s="8"/>
      <c r="H33" s="8"/>
    </row>
    <row r="34" customFormat="false" ht="23.85" hidden="false" customHeight="false" outlineLevel="0" collapsed="false">
      <c r="A34" s="6" t="n">
        <v>5804</v>
      </c>
      <c r="B34" s="4" t="s">
        <v>422</v>
      </c>
      <c r="C34" s="6" t="n">
        <v>2013</v>
      </c>
      <c r="D34" s="6"/>
      <c r="E34" s="6"/>
      <c r="F34" s="7" t="s">
        <v>423</v>
      </c>
      <c r="G34" s="8"/>
      <c r="H34" s="8"/>
    </row>
    <row r="35" customFormat="false" ht="15" hidden="false" customHeight="false" outlineLevel="0" collapsed="false">
      <c r="A35" s="6" t="n">
        <v>5806</v>
      </c>
      <c r="B35" s="4" t="s">
        <v>424</v>
      </c>
      <c r="C35" s="6" t="n">
        <v>2013</v>
      </c>
      <c r="D35" s="6"/>
      <c r="E35" s="6"/>
      <c r="F35" s="7" t="s">
        <v>425</v>
      </c>
      <c r="G35" s="8"/>
      <c r="H35" s="8"/>
    </row>
    <row r="36" customFormat="false" ht="15" hidden="false" customHeight="false" outlineLevel="0" collapsed="false">
      <c r="A36" s="6" t="n">
        <v>5808</v>
      </c>
      <c r="B36" s="4" t="s">
        <v>426</v>
      </c>
      <c r="C36" s="6" t="n">
        <v>2013</v>
      </c>
      <c r="D36" s="6"/>
      <c r="E36" s="6"/>
      <c r="F36" s="7" t="s">
        <v>427</v>
      </c>
      <c r="G36" s="8"/>
      <c r="H36" s="8"/>
    </row>
    <row r="37" customFormat="false" ht="15" hidden="false" customHeight="false" outlineLevel="0" collapsed="false">
      <c r="A37" s="6" t="n">
        <v>5813</v>
      </c>
      <c r="B37" s="4" t="s">
        <v>428</v>
      </c>
      <c r="C37" s="6" t="n">
        <v>2013</v>
      </c>
      <c r="D37" s="6"/>
      <c r="E37" s="6"/>
      <c r="F37" s="7" t="s">
        <v>429</v>
      </c>
      <c r="G37" s="8"/>
      <c r="H37" s="8"/>
    </row>
    <row r="38" customFormat="false" ht="15" hidden="false" customHeight="false" outlineLevel="0" collapsed="false">
      <c r="A38" s="6" t="n">
        <v>5814</v>
      </c>
      <c r="B38" s="4" t="s">
        <v>430</v>
      </c>
      <c r="C38" s="6" t="n">
        <v>2013</v>
      </c>
      <c r="D38" s="6"/>
      <c r="E38" s="6"/>
      <c r="F38" s="7" t="s">
        <v>431</v>
      </c>
      <c r="G38" s="8"/>
      <c r="H38" s="8"/>
    </row>
    <row r="39" customFormat="false" ht="15" hidden="false" customHeight="false" outlineLevel="0" collapsed="false">
      <c r="A39" s="6" t="n">
        <v>5815</v>
      </c>
      <c r="B39" s="4" t="s">
        <v>432</v>
      </c>
      <c r="C39" s="6" t="n">
        <v>2013</v>
      </c>
      <c r="D39" s="6"/>
      <c r="E39" s="6"/>
      <c r="F39" s="7" t="s">
        <v>433</v>
      </c>
      <c r="G39" s="8"/>
      <c r="H39" s="8"/>
    </row>
    <row r="40" customFormat="false" ht="35.05" hidden="false" customHeight="false" outlineLevel="0" collapsed="false">
      <c r="A40" s="6" t="n">
        <v>5816</v>
      </c>
      <c r="B40" s="4" t="s">
        <v>434</v>
      </c>
      <c r="C40" s="6" t="n">
        <v>2013</v>
      </c>
      <c r="D40" s="6"/>
      <c r="E40" s="6"/>
      <c r="F40" s="7" t="s">
        <v>435</v>
      </c>
      <c r="G40" s="8"/>
      <c r="H40" s="8"/>
    </row>
    <row r="41" customFormat="false" ht="15" hidden="false" customHeight="false" outlineLevel="0" collapsed="false">
      <c r="A41" s="6" t="n">
        <v>5989</v>
      </c>
      <c r="B41" s="4" t="s">
        <v>436</v>
      </c>
      <c r="C41" s="6" t="n">
        <v>2015</v>
      </c>
      <c r="D41" s="6"/>
      <c r="E41" s="6"/>
      <c r="F41" s="7" t="s">
        <v>437</v>
      </c>
      <c r="G41" s="8"/>
      <c r="H41" s="8"/>
    </row>
    <row r="42" customFormat="false" ht="15" hidden="false" customHeight="false" outlineLevel="0" collapsed="false">
      <c r="A42" s="6" t="n">
        <v>5990</v>
      </c>
      <c r="B42" s="4" t="s">
        <v>438</v>
      </c>
      <c r="C42" s="6" t="n">
        <v>2015</v>
      </c>
      <c r="D42" s="6"/>
      <c r="E42" s="6"/>
      <c r="F42" s="7" t="s">
        <v>439</v>
      </c>
      <c r="G42" s="8"/>
      <c r="H42" s="8"/>
    </row>
    <row r="43" customFormat="false" ht="15" hidden="false" customHeight="false" outlineLevel="0" collapsed="false">
      <c r="A43" s="6" t="n">
        <v>5992</v>
      </c>
      <c r="B43" s="4" t="s">
        <v>440</v>
      </c>
      <c r="C43" s="6" t="n">
        <v>2015</v>
      </c>
      <c r="D43" s="6"/>
      <c r="E43" s="6"/>
      <c r="F43" s="7" t="s">
        <v>441</v>
      </c>
      <c r="G43" s="8"/>
      <c r="H43" s="8"/>
    </row>
    <row r="44" customFormat="false" ht="15" hidden="false" customHeight="false" outlineLevel="0" collapsed="false">
      <c r="A44" s="6" t="n">
        <v>5993</v>
      </c>
      <c r="B44" s="4" t="s">
        <v>442</v>
      </c>
      <c r="C44" s="6" t="n">
        <v>2015</v>
      </c>
      <c r="D44" s="6"/>
      <c r="E44" s="6"/>
      <c r="F44" s="7" t="s">
        <v>443</v>
      </c>
      <c r="G44" s="8"/>
      <c r="H44" s="8"/>
    </row>
    <row r="45" customFormat="false" ht="15" hidden="false" customHeight="false" outlineLevel="0" collapsed="false">
      <c r="A45" s="6" t="n">
        <v>5994</v>
      </c>
      <c r="B45" s="4" t="s">
        <v>444</v>
      </c>
      <c r="C45" s="6" t="n">
        <v>2015</v>
      </c>
      <c r="D45" s="6"/>
      <c r="E45" s="6"/>
      <c r="F45" s="7" t="s">
        <v>445</v>
      </c>
      <c r="G45" s="8"/>
      <c r="H45" s="8"/>
    </row>
    <row r="46" customFormat="false" ht="15" hidden="false" customHeight="false" outlineLevel="0" collapsed="false">
      <c r="A46" s="6" t="n">
        <v>5995</v>
      </c>
      <c r="B46" s="4" t="s">
        <v>446</v>
      </c>
      <c r="C46" s="6" t="n">
        <v>2015</v>
      </c>
      <c r="D46" s="6"/>
      <c r="E46" s="6"/>
      <c r="F46" s="7" t="s">
        <v>447</v>
      </c>
      <c r="G46" s="8"/>
      <c r="H46" s="8"/>
    </row>
    <row r="47" customFormat="false" ht="46.25" hidden="false" customHeight="false" outlineLevel="0" collapsed="false">
      <c r="A47" s="6" t="n">
        <v>6093</v>
      </c>
      <c r="B47" s="4" t="s">
        <v>448</v>
      </c>
      <c r="C47" s="6" t="n">
        <v>2016</v>
      </c>
      <c r="D47" s="4" t="s">
        <v>397</v>
      </c>
      <c r="E47" s="4" t="s">
        <v>449</v>
      </c>
      <c r="F47" s="7" t="s">
        <v>450</v>
      </c>
      <c r="G47" s="8"/>
      <c r="H47" s="8"/>
    </row>
    <row r="48" customFormat="false" ht="15" hidden="false" customHeight="false" outlineLevel="0" collapsed="false">
      <c r="A48" s="6" t="n">
        <v>6184</v>
      </c>
      <c r="B48" s="4" t="s">
        <v>451</v>
      </c>
      <c r="C48" s="6" t="n">
        <v>2017</v>
      </c>
      <c r="D48" s="6"/>
      <c r="E48" s="6"/>
      <c r="F48" s="7" t="s">
        <v>452</v>
      </c>
      <c r="G48" s="8"/>
      <c r="H48" s="8"/>
    </row>
    <row r="49" customFormat="false" ht="15" hidden="false" customHeight="false" outlineLevel="0" collapsed="false">
      <c r="A49" s="6" t="n">
        <v>6185</v>
      </c>
      <c r="B49" s="4" t="s">
        <v>453</v>
      </c>
      <c r="C49" s="6" t="n">
        <v>2017</v>
      </c>
      <c r="D49" s="6"/>
      <c r="E49" s="6"/>
      <c r="F49" s="7" t="s">
        <v>454</v>
      </c>
      <c r="G49" s="8"/>
      <c r="H49" s="8"/>
    </row>
    <row r="50" customFormat="false" ht="15" hidden="false" customHeight="false" outlineLevel="0" collapsed="false">
      <c r="A50" s="6" t="n">
        <v>6186</v>
      </c>
      <c r="B50" s="4" t="s">
        <v>455</v>
      </c>
      <c r="C50" s="6" t="n">
        <v>2017</v>
      </c>
      <c r="D50" s="6"/>
      <c r="E50" s="6"/>
      <c r="F50" s="7" t="s">
        <v>456</v>
      </c>
      <c r="G50" s="8"/>
      <c r="H50" s="8"/>
    </row>
    <row r="51" customFormat="false" ht="15" hidden="false" customHeight="false" outlineLevel="0" collapsed="false">
      <c r="A51" s="6" t="n">
        <v>6187</v>
      </c>
      <c r="B51" s="4" t="s">
        <v>457</v>
      </c>
      <c r="C51" s="6" t="n">
        <v>2017</v>
      </c>
      <c r="D51" s="6"/>
      <c r="E51" s="6"/>
      <c r="F51" s="7" t="s">
        <v>458</v>
      </c>
      <c r="G51" s="8"/>
      <c r="H51" s="8"/>
    </row>
    <row r="52" customFormat="false" ht="15" hidden="false" customHeight="false" outlineLevel="0" collapsed="false">
      <c r="A52" s="6" t="n">
        <v>6188</v>
      </c>
      <c r="B52" s="4" t="s">
        <v>459</v>
      </c>
      <c r="C52" s="6" t="n">
        <v>2017</v>
      </c>
      <c r="D52" s="6"/>
      <c r="E52" s="6"/>
      <c r="F52" s="7" t="s">
        <v>460</v>
      </c>
      <c r="G52" s="8"/>
      <c r="H52" s="8"/>
    </row>
    <row r="53" customFormat="false" ht="23.85" hidden="false" customHeight="false" outlineLevel="0" collapsed="false">
      <c r="A53" s="6" t="n">
        <v>6190</v>
      </c>
      <c r="B53" s="4" t="s">
        <v>461</v>
      </c>
      <c r="C53" s="6" t="n">
        <v>2017</v>
      </c>
      <c r="D53" s="6"/>
      <c r="E53" s="6"/>
      <c r="F53" s="7" t="s">
        <v>462</v>
      </c>
      <c r="G53" s="8"/>
      <c r="H53" s="8"/>
    </row>
    <row r="54" customFormat="false" ht="15" hidden="false" customHeight="false" outlineLevel="0" collapsed="false">
      <c r="A54" s="6" t="n">
        <v>6380</v>
      </c>
      <c r="B54" s="4" t="s">
        <v>463</v>
      </c>
      <c r="C54" s="6" t="n">
        <v>2019</v>
      </c>
      <c r="D54" s="6"/>
      <c r="E54" s="6"/>
      <c r="F54" s="7" t="s">
        <v>464</v>
      </c>
      <c r="G54" s="8"/>
      <c r="H54" s="8"/>
    </row>
    <row r="55" customFormat="false" ht="15" hidden="false" customHeight="false" outlineLevel="0" collapsed="false">
      <c r="A55" s="6" t="n">
        <v>6381</v>
      </c>
      <c r="B55" s="4" t="s">
        <v>465</v>
      </c>
      <c r="C55" s="6" t="n">
        <v>2019</v>
      </c>
      <c r="D55" s="6"/>
      <c r="E55" s="6"/>
      <c r="F55" s="7" t="s">
        <v>466</v>
      </c>
      <c r="G55" s="8"/>
      <c r="H55" s="8"/>
    </row>
    <row r="56" customFormat="false" ht="23.85" hidden="false" customHeight="false" outlineLevel="0" collapsed="false">
      <c r="A56" s="6" t="n">
        <v>6582</v>
      </c>
      <c r="B56" s="4" t="s">
        <v>467</v>
      </c>
      <c r="C56" s="6" t="n">
        <v>2022</v>
      </c>
      <c r="D56" s="6"/>
      <c r="E56" s="6"/>
      <c r="F56" s="7" t="s">
        <v>468</v>
      </c>
      <c r="G56" s="8"/>
      <c r="H56" s="8"/>
    </row>
    <row r="57" customFormat="false" ht="23.85" hidden="false" customHeight="false" outlineLevel="0" collapsed="false">
      <c r="A57" s="6" t="n">
        <v>6619</v>
      </c>
      <c r="B57" s="4" t="s">
        <v>469</v>
      </c>
      <c r="C57" s="6" t="n">
        <v>2022</v>
      </c>
      <c r="D57" s="6"/>
      <c r="E57" s="6"/>
      <c r="F57" s="7" t="s">
        <v>470</v>
      </c>
      <c r="G57" s="8"/>
      <c r="H57" s="8"/>
    </row>
    <row r="58" customFormat="false" ht="15" hidden="false" customHeight="false" outlineLevel="0" collapsed="false">
      <c r="A58" s="6" t="n">
        <v>6768</v>
      </c>
      <c r="B58" s="4" t="s">
        <v>471</v>
      </c>
      <c r="C58" s="6" t="n">
        <v>2024</v>
      </c>
      <c r="D58" s="6"/>
      <c r="E58" s="6"/>
      <c r="F58" s="7" t="s">
        <v>472</v>
      </c>
      <c r="G58" s="8"/>
      <c r="H58" s="8"/>
    </row>
    <row r="59" customFormat="false" ht="15" hidden="false" customHeight="false" outlineLevel="0" collapsed="false">
      <c r="A59" s="6" t="n">
        <v>6840</v>
      </c>
      <c r="B59" s="4" t="s">
        <v>473</v>
      </c>
      <c r="C59" s="6" t="n">
        <v>2025</v>
      </c>
      <c r="D59" s="6"/>
      <c r="E59" s="6"/>
      <c r="F59" s="7" t="s">
        <v>474</v>
      </c>
      <c r="G59" s="8"/>
      <c r="H59" s="8"/>
    </row>
    <row r="60" customFormat="false" ht="15" hidden="false" customHeight="false" outlineLevel="0" collapsed="false">
      <c r="A60" s="6" t="n">
        <v>6841</v>
      </c>
      <c r="B60" s="4" t="s">
        <v>475</v>
      </c>
      <c r="C60" s="6" t="n">
        <v>2025</v>
      </c>
      <c r="D60" s="6"/>
      <c r="E60" s="6"/>
      <c r="F60" s="7" t="s">
        <v>476</v>
      </c>
      <c r="G60" s="8"/>
      <c r="H60" s="8"/>
    </row>
    <row r="61" customFormat="false" ht="15" hidden="false" customHeight="false" outlineLevel="0" collapsed="false">
      <c r="A61" s="6" t="n">
        <v>7021</v>
      </c>
      <c r="B61" s="4" t="s">
        <v>477</v>
      </c>
      <c r="C61" s="6" t="n">
        <v>2026</v>
      </c>
      <c r="D61" s="6"/>
      <c r="E61" s="6"/>
      <c r="F61" s="7" t="s">
        <v>478</v>
      </c>
      <c r="G61" s="8"/>
      <c r="H61" s="8"/>
    </row>
  </sheetData>
  <autoFilter ref="A1:H61"/>
  <hyperlinks>
    <hyperlink ref="F2" r:id="rId1" display="https://whc.unesco.org/en/tentativelists/105/"/>
    <hyperlink ref="F3" r:id="rId2" display="https://whc.unesco.org/en/tentativelists/106/"/>
    <hyperlink ref="F4" r:id="rId3" display="https://whc.unesco.org/en/tentativelists/107/"/>
    <hyperlink ref="F5" r:id="rId4" display="https://whc.unesco.org/en/tentativelists/108/"/>
    <hyperlink ref="F6" r:id="rId5" display="https://whc.unesco.org/en/tentativelists/1622/"/>
    <hyperlink ref="F7" r:id="rId6" display="https://whc.unesco.org/en/tentativelists/1623/"/>
    <hyperlink ref="F8" r:id="rId7" display="https://whc.unesco.org/en/tentativelists/1624/"/>
    <hyperlink ref="F9" r:id="rId8" display="https://whc.unesco.org/en/tentativelists/1625/"/>
    <hyperlink ref="F10" r:id="rId9" display="https://whc.unesco.org/en/tentativelists/1626/"/>
    <hyperlink ref="F11" r:id="rId10" display="https://whc.unesco.org/en/tentativelists/1627/"/>
    <hyperlink ref="F12" r:id="rId11" display="https://whc.unesco.org/en/tentativelists/1629/"/>
    <hyperlink ref="F13" r:id="rId12" display="https://whc.unesco.org/en/tentativelists/1631/"/>
    <hyperlink ref="F14" r:id="rId13" display="https://whc.unesco.org/en/tentativelists/1632/"/>
    <hyperlink ref="F15" r:id="rId14" display="https://whc.unesco.org/en/tentativelists/1633/"/>
    <hyperlink ref="F16" r:id="rId15" display="https://whc.unesco.org/en/tentativelists/1634/"/>
    <hyperlink ref="F17" r:id="rId16" display="https://whc.unesco.org/en/tentativelists/5320/"/>
    <hyperlink ref="F18" r:id="rId17" display="https://whc.unesco.org/en/tentativelists/5322/"/>
    <hyperlink ref="F19" r:id="rId18" display="https://whc.unesco.org/en/tentativelists/5324/"/>
    <hyperlink ref="F20" r:id="rId19" display="https://whc.unesco.org/en/tentativelists/5327/"/>
    <hyperlink ref="F21" r:id="rId20" display="https://whc.unesco.org/en/tentativelists/5328/"/>
    <hyperlink ref="F22" r:id="rId21" display="https://whc.unesco.org/en/tentativelists/5335/"/>
    <hyperlink ref="F23" r:id="rId22" display="https://whc.unesco.org/en/tentativelists/5337/"/>
    <hyperlink ref="F24" r:id="rId23" display="https://whc.unesco.org/en/tentativelists/5338/"/>
    <hyperlink ref="F25" r:id="rId24" display="https://whc.unesco.org/en/tentativelists/5341/"/>
    <hyperlink ref="F26" r:id="rId25" display="https://whc.unesco.org/en/tentativelists/5344/"/>
    <hyperlink ref="F27" r:id="rId26" display="https://whc.unesco.org/en/tentativelists/5347/"/>
    <hyperlink ref="F28" r:id="rId27" display="https://whc.unesco.org/en/tentativelists/5351/"/>
    <hyperlink ref="F29" r:id="rId28" display="https://whc.unesco.org/en/tentativelists/5353/"/>
    <hyperlink ref="F30" r:id="rId29" display="https://whc.unesco.org/en/tentativelists/5532/"/>
    <hyperlink ref="F31" r:id="rId30" display="https://whc.unesco.org/en/tentativelists/5533/"/>
    <hyperlink ref="F32" r:id="rId31" display="https://whc.unesco.org/en/tentativelists/5535/"/>
    <hyperlink ref="F33" r:id="rId32" display="https://whc.unesco.org/en/tentativelists/5803/"/>
    <hyperlink ref="F34" r:id="rId33" display="https://whc.unesco.org/en/tentativelists/5804/"/>
    <hyperlink ref="F35" r:id="rId34" display="https://whc.unesco.org/en/tentativelists/5806/"/>
    <hyperlink ref="F36" r:id="rId35" display="https://whc.unesco.org/en/tentativelists/5808/"/>
    <hyperlink ref="F37" r:id="rId36" display="https://whc.unesco.org/en/tentativelists/5813/"/>
    <hyperlink ref="F38" r:id="rId37" display="https://whc.unesco.org/en/tentativelists/5814/"/>
    <hyperlink ref="F39" r:id="rId38" display="https://whc.unesco.org/en/tentativelists/5815/"/>
    <hyperlink ref="F40" r:id="rId39" display="https://whc.unesco.org/en/tentativelists/5816/"/>
    <hyperlink ref="F41" r:id="rId40" display="https://whc.unesco.org/en/tentativelists/5989/"/>
    <hyperlink ref="F42" r:id="rId41" display="https://whc.unesco.org/en/tentativelists/5990/"/>
    <hyperlink ref="F43" r:id="rId42" display="https://whc.unesco.org/en/tentativelists/5992/"/>
    <hyperlink ref="F44" r:id="rId43" display="https://whc.unesco.org/en/tentativelists/5993/"/>
    <hyperlink ref="F45" r:id="rId44" display="https://whc.unesco.org/en/tentativelists/5994/"/>
    <hyperlink ref="F46" r:id="rId45" display="https://whc.unesco.org/en/tentativelists/5995/"/>
    <hyperlink ref="F47" r:id="rId46" display="https://whc.unesco.org/en/tentativelists/6093/"/>
    <hyperlink ref="F48" r:id="rId47" display="https://whc.unesco.org/en/tentativelists/6184/"/>
    <hyperlink ref="F49" r:id="rId48" display="https://whc.unesco.org/en/tentativelists/6185/"/>
    <hyperlink ref="F50" r:id="rId49" display="https://whc.unesco.org/en/tentativelists/6186/"/>
    <hyperlink ref="F51" r:id="rId50" display="https://whc.unesco.org/en/tentativelists/6187/"/>
    <hyperlink ref="F52" r:id="rId51" display="https://whc.unesco.org/en/tentativelists/6188/"/>
    <hyperlink ref="F53" r:id="rId52" display="https://whc.unesco.org/en/tentativelists/6190/"/>
    <hyperlink ref="F54" r:id="rId53" display="https://whc.unesco.org/en/tentativelists/6380/"/>
    <hyperlink ref="F55" r:id="rId54" display="https://whc.unesco.org/en/tentativelists/6381/"/>
    <hyperlink ref="F56" r:id="rId55" display="https://whc.unesco.org/en/tentativelists/6582/"/>
    <hyperlink ref="F57" r:id="rId56" display="https://whc.unesco.org/en/tentativelists/6619/"/>
    <hyperlink ref="F58" r:id="rId57" display="https://whc.unesco.org/en/tentativelists/6768/"/>
    <hyperlink ref="F59" r:id="rId58" display="https://whc.unesco.org/en/tentativelists/6840/"/>
    <hyperlink ref="F60" r:id="rId59" display="https://whc.unesco.org/en/tentativelists/6841/"/>
    <hyperlink ref="F61" r:id="rId60" display="https://whc.unesco.org/en/tentativelists/702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24"/>
    <col collapsed="false" customWidth="true" hidden="false" outlineLevel="0" max="4" min="4" style="0" width="22"/>
    <col collapsed="false" customWidth="true" hidden="false" outlineLevel="0" max="5" min="5" style="0" width="9"/>
    <col collapsed="false" customWidth="true" hidden="false" outlineLevel="0" max="6" min="6" style="0" width="11"/>
    <col collapsed="false" customWidth="true" hidden="false" outlineLevel="0" max="7" min="7" style="0" width="26"/>
    <col collapsed="false" customWidth="true" hidden="false" outlineLevel="0" max="8" min="8" style="0" width="24"/>
    <col collapsed="false" customWidth="true" hidden="false" outlineLevel="0" max="9" min="9" style="0" width="70"/>
    <col collapsed="false" customWidth="true" hidden="false" outlineLevel="0" max="10" min="10" style="0" width="30"/>
    <col collapsed="false" customWidth="true" hidden="false" outlineLevel="0" max="11" min="11" style="0" width="26"/>
  </cols>
  <sheetData>
    <row r="1" customFormat="false" ht="31.5" hidden="false" customHeight="true" outlineLevel="0" collapsed="false">
      <c r="A1" s="5" t="s">
        <v>33</v>
      </c>
      <c r="B1" s="5" t="s">
        <v>34</v>
      </c>
      <c r="C1" s="5" t="s">
        <v>35</v>
      </c>
      <c r="D1" s="5" t="s">
        <v>479</v>
      </c>
      <c r="E1" s="5" t="s">
        <v>38</v>
      </c>
      <c r="F1" s="5" t="s">
        <v>40</v>
      </c>
      <c r="G1" s="5" t="s">
        <v>480</v>
      </c>
      <c r="H1" s="5" t="s">
        <v>481</v>
      </c>
      <c r="I1" s="5" t="s">
        <v>482</v>
      </c>
      <c r="J1" s="5" t="s">
        <v>47</v>
      </c>
      <c r="K1" s="5" t="s">
        <v>49</v>
      </c>
    </row>
    <row r="2" customFormat="false" ht="46.25" hidden="false" customHeight="false" outlineLevel="0" collapsed="false">
      <c r="A2" s="6" t="n">
        <v>1223</v>
      </c>
      <c r="B2" s="4" t="s">
        <v>483</v>
      </c>
      <c r="C2" s="6"/>
      <c r="D2" s="4" t="s">
        <v>484</v>
      </c>
      <c r="E2" s="6" t="n">
        <v>2008</v>
      </c>
      <c r="F2" s="4" t="s">
        <v>55</v>
      </c>
      <c r="G2" s="4" t="s">
        <v>485</v>
      </c>
      <c r="H2" s="4" t="s">
        <v>486</v>
      </c>
      <c r="I2" s="4" t="s">
        <v>487</v>
      </c>
      <c r="J2" s="7" t="s">
        <v>488</v>
      </c>
      <c r="K2" s="8"/>
    </row>
    <row r="3" customFormat="false" ht="35.05" hidden="false" customHeight="false" outlineLevel="0" collapsed="false">
      <c r="A3" s="6" t="n">
        <v>948</v>
      </c>
      <c r="B3" s="4" t="s">
        <v>489</v>
      </c>
      <c r="C3" s="6" t="s">
        <v>490</v>
      </c>
      <c r="D3" s="4" t="s">
        <v>491</v>
      </c>
      <c r="E3" s="6" t="n">
        <v>1999</v>
      </c>
      <c r="F3" s="4" t="s">
        <v>55</v>
      </c>
      <c r="G3" s="4" t="s">
        <v>485</v>
      </c>
      <c r="H3" s="4" t="s">
        <v>486</v>
      </c>
      <c r="I3" s="4" t="s">
        <v>492</v>
      </c>
      <c r="J3" s="7" t="s">
        <v>493</v>
      </c>
      <c r="K3" s="8"/>
    </row>
    <row r="4" customFormat="false" ht="35.05" hidden="false" customHeight="false" outlineLevel="0" collapsed="false">
      <c r="A4" s="6" t="n">
        <v>1610</v>
      </c>
      <c r="B4" s="4" t="s">
        <v>494</v>
      </c>
      <c r="C4" s="6" t="s">
        <v>495</v>
      </c>
      <c r="D4" s="4" t="s">
        <v>496</v>
      </c>
      <c r="E4" s="6" t="n">
        <v>2019</v>
      </c>
      <c r="F4" s="4" t="s">
        <v>55</v>
      </c>
      <c r="G4" s="4" t="s">
        <v>497</v>
      </c>
      <c r="H4" s="4" t="s">
        <v>498</v>
      </c>
      <c r="I4" s="4" t="s">
        <v>499</v>
      </c>
      <c r="J4" s="7" t="s">
        <v>500</v>
      </c>
      <c r="K4" s="8"/>
    </row>
    <row r="5" customFormat="false" ht="23.85" hidden="false" customHeight="false" outlineLevel="0" collapsed="false">
      <c r="A5" s="6" t="n">
        <v>502</v>
      </c>
      <c r="B5" s="4" t="s">
        <v>501</v>
      </c>
      <c r="C5" s="6" t="s">
        <v>502</v>
      </c>
      <c r="D5" s="4" t="s">
        <v>503</v>
      </c>
      <c r="E5" s="6" t="n">
        <v>1999</v>
      </c>
      <c r="F5" s="4" t="s">
        <v>55</v>
      </c>
      <c r="G5" s="4" t="s">
        <v>497</v>
      </c>
      <c r="H5" s="4" t="s">
        <v>486</v>
      </c>
      <c r="I5" s="4" t="s">
        <v>504</v>
      </c>
      <c r="J5" s="7" t="s">
        <v>505</v>
      </c>
      <c r="K5" s="8"/>
    </row>
    <row r="6" customFormat="false" ht="23.85" hidden="false" customHeight="false" outlineLevel="0" collapsed="false">
      <c r="A6" s="6" t="n">
        <v>677</v>
      </c>
      <c r="B6" s="4" t="s">
        <v>506</v>
      </c>
      <c r="C6" s="6" t="s">
        <v>507</v>
      </c>
      <c r="D6" s="4" t="s">
        <v>503</v>
      </c>
      <c r="E6" s="6" t="n">
        <v>1993</v>
      </c>
      <c r="F6" s="4" t="s">
        <v>55</v>
      </c>
      <c r="G6" s="4" t="s">
        <v>497</v>
      </c>
      <c r="H6" s="4" t="s">
        <v>508</v>
      </c>
      <c r="I6" s="4" t="s">
        <v>509</v>
      </c>
      <c r="J6" s="7" t="s">
        <v>510</v>
      </c>
      <c r="K6" s="8"/>
    </row>
    <row r="7" customFormat="false" ht="35.05" hidden="false" customHeight="false" outlineLevel="0" collapsed="false">
      <c r="A7" s="6" t="n">
        <v>1328</v>
      </c>
      <c r="B7" s="4" t="s">
        <v>511</v>
      </c>
      <c r="C7" s="6" t="s">
        <v>512</v>
      </c>
      <c r="D7" s="4" t="s">
        <v>491</v>
      </c>
      <c r="E7" s="6" t="n">
        <v>2010</v>
      </c>
      <c r="F7" s="4" t="s">
        <v>55</v>
      </c>
      <c r="G7" s="4" t="s">
        <v>497</v>
      </c>
      <c r="H7" s="4" t="s">
        <v>513</v>
      </c>
      <c r="I7" s="4" t="s">
        <v>514</v>
      </c>
      <c r="J7" s="7" t="s">
        <v>515</v>
      </c>
      <c r="K7" s="8"/>
    </row>
    <row r="8" customFormat="false" ht="35.05" hidden="false" customHeight="false" outlineLevel="0" collapsed="false">
      <c r="A8" s="6" t="n">
        <v>1091</v>
      </c>
      <c r="B8" s="4" t="s">
        <v>516</v>
      </c>
      <c r="C8" s="6" t="s">
        <v>517</v>
      </c>
      <c r="D8" s="4" t="s">
        <v>518</v>
      </c>
      <c r="E8" s="6" t="n">
        <v>2004</v>
      </c>
      <c r="F8" s="4" t="s">
        <v>55</v>
      </c>
      <c r="G8" s="4" t="s">
        <v>497</v>
      </c>
      <c r="H8" s="4" t="s">
        <v>519</v>
      </c>
      <c r="I8" s="4" t="s">
        <v>520</v>
      </c>
      <c r="J8" s="7" t="s">
        <v>521</v>
      </c>
      <c r="K8" s="8"/>
    </row>
    <row r="9" customFormat="false" ht="23.85" hidden="false" customHeight="false" outlineLevel="0" collapsed="false">
      <c r="A9" s="6" t="n">
        <v>1537</v>
      </c>
      <c r="B9" s="4" t="s">
        <v>522</v>
      </c>
      <c r="C9" s="6" t="s">
        <v>523</v>
      </c>
      <c r="D9" s="4" t="s">
        <v>524</v>
      </c>
      <c r="E9" s="6" t="n">
        <v>2018</v>
      </c>
      <c r="F9" s="4" t="s">
        <v>55</v>
      </c>
      <c r="G9" s="4" t="s">
        <v>497</v>
      </c>
      <c r="H9" s="4" t="s">
        <v>323</v>
      </c>
      <c r="I9" s="4" t="s">
        <v>525</v>
      </c>
      <c r="J9" s="7" t="s">
        <v>526</v>
      </c>
      <c r="K9" s="8"/>
    </row>
    <row r="10" customFormat="false" ht="29.85" hidden="false" customHeight="false" outlineLevel="0" collapsed="false">
      <c r="A10" s="6" t="n">
        <v>144</v>
      </c>
      <c r="B10" s="4" t="s">
        <v>527</v>
      </c>
      <c r="C10" s="6" t="s">
        <v>528</v>
      </c>
      <c r="D10" s="4" t="s">
        <v>529</v>
      </c>
      <c r="E10" s="6" t="n">
        <v>1981</v>
      </c>
      <c r="F10" s="4" t="s">
        <v>55</v>
      </c>
      <c r="G10" s="4" t="s">
        <v>497</v>
      </c>
      <c r="H10" s="4" t="s">
        <v>530</v>
      </c>
      <c r="I10" s="4" t="s">
        <v>531</v>
      </c>
      <c r="J10" s="7" t="s">
        <v>532</v>
      </c>
      <c r="K10" s="8"/>
    </row>
    <row r="11" customFormat="false" ht="23.85" hidden="false" customHeight="false" outlineLevel="0" collapsed="false">
      <c r="A11" s="6" t="n">
        <v>365</v>
      </c>
      <c r="B11" s="4" t="s">
        <v>533</v>
      </c>
      <c r="C11" s="6" t="s">
        <v>534</v>
      </c>
      <c r="D11" s="4" t="s">
        <v>535</v>
      </c>
      <c r="E11" s="6" t="n">
        <v>1986</v>
      </c>
      <c r="F11" s="4" t="s">
        <v>55</v>
      </c>
      <c r="G11" s="4" t="s">
        <v>497</v>
      </c>
      <c r="H11" s="4" t="s">
        <v>536</v>
      </c>
      <c r="I11" s="4" t="s">
        <v>537</v>
      </c>
      <c r="J11" s="7" t="s">
        <v>538</v>
      </c>
      <c r="K11" s="8"/>
    </row>
    <row r="12" customFormat="false" ht="23.85" hidden="false" customHeight="false" outlineLevel="0" collapsed="false">
      <c r="A12" s="6" t="n">
        <v>1246</v>
      </c>
      <c r="B12" s="4" t="s">
        <v>539</v>
      </c>
      <c r="C12" s="6" t="s">
        <v>540</v>
      </c>
      <c r="D12" s="4" t="s">
        <v>541</v>
      </c>
      <c r="E12" s="6" t="n">
        <v>2007</v>
      </c>
      <c r="F12" s="4" t="s">
        <v>55</v>
      </c>
      <c r="G12" s="4" t="s">
        <v>497</v>
      </c>
      <c r="H12" s="4" t="s">
        <v>323</v>
      </c>
      <c r="I12" s="4" t="s">
        <v>542</v>
      </c>
      <c r="J12" s="7" t="s">
        <v>543</v>
      </c>
      <c r="K12" s="8"/>
    </row>
    <row r="13" customFormat="false" ht="23.85" hidden="false" customHeight="false" outlineLevel="0" collapsed="false">
      <c r="A13" s="6" t="n">
        <v>972</v>
      </c>
      <c r="B13" s="4" t="s">
        <v>544</v>
      </c>
      <c r="C13" s="6" t="s">
        <v>545</v>
      </c>
      <c r="D13" s="4" t="s">
        <v>541</v>
      </c>
      <c r="E13" s="6" t="n">
        <v>2000</v>
      </c>
      <c r="F13" s="4" t="s">
        <v>55</v>
      </c>
      <c r="G13" s="4" t="s">
        <v>546</v>
      </c>
      <c r="H13" s="4" t="s">
        <v>547</v>
      </c>
      <c r="I13" s="4" t="s">
        <v>548</v>
      </c>
      <c r="J13" s="7" t="s">
        <v>549</v>
      </c>
      <c r="K13" s="8"/>
    </row>
    <row r="14" customFormat="false" ht="35.05" hidden="false" customHeight="false" outlineLevel="0" collapsed="false">
      <c r="A14" s="6" t="n">
        <v>660</v>
      </c>
      <c r="B14" s="4" t="s">
        <v>550</v>
      </c>
      <c r="C14" s="6" t="s">
        <v>551</v>
      </c>
      <c r="D14" s="4" t="s">
        <v>541</v>
      </c>
      <c r="E14" s="6" t="n">
        <v>1993</v>
      </c>
      <c r="F14" s="4" t="s">
        <v>55</v>
      </c>
      <c r="G14" s="4" t="s">
        <v>497</v>
      </c>
      <c r="H14" s="4" t="s">
        <v>552</v>
      </c>
      <c r="I14" s="4" t="s">
        <v>553</v>
      </c>
      <c r="J14" s="7" t="s">
        <v>554</v>
      </c>
      <c r="K14" s="8"/>
    </row>
    <row r="15" customFormat="false" ht="29.85" hidden="false" customHeight="false" outlineLevel="0" collapsed="false">
      <c r="A15" s="6" t="n">
        <v>688</v>
      </c>
      <c r="B15" s="4" t="s">
        <v>555</v>
      </c>
      <c r="C15" s="6" t="s">
        <v>556</v>
      </c>
      <c r="D15" s="4" t="s">
        <v>541</v>
      </c>
      <c r="E15" s="6" t="n">
        <v>1994</v>
      </c>
      <c r="F15" s="4" t="s">
        <v>55</v>
      </c>
      <c r="G15" s="4" t="s">
        <v>497</v>
      </c>
      <c r="H15" s="4" t="s">
        <v>552</v>
      </c>
      <c r="I15" s="4" t="s">
        <v>557</v>
      </c>
      <c r="J15" s="7" t="s">
        <v>558</v>
      </c>
      <c r="K15" s="8"/>
    </row>
    <row r="16" customFormat="false" ht="23.85" hidden="false" customHeight="false" outlineLevel="0" collapsed="false">
      <c r="A16" s="6" t="n">
        <v>870</v>
      </c>
      <c r="B16" s="4" t="s">
        <v>559</v>
      </c>
      <c r="C16" s="6" t="s">
        <v>560</v>
      </c>
      <c r="D16" s="4" t="s">
        <v>541</v>
      </c>
      <c r="E16" s="6" t="n">
        <v>1998</v>
      </c>
      <c r="F16" s="4" t="s">
        <v>55</v>
      </c>
      <c r="G16" s="4" t="s">
        <v>546</v>
      </c>
      <c r="H16" s="4" t="s">
        <v>552</v>
      </c>
      <c r="I16" s="4" t="s">
        <v>561</v>
      </c>
      <c r="J16" s="7" t="s">
        <v>562</v>
      </c>
      <c r="K16" s="8"/>
    </row>
    <row r="17" customFormat="false" ht="23.85" hidden="false" customHeight="false" outlineLevel="0" collapsed="false">
      <c r="A17" s="6" t="n">
        <v>1142</v>
      </c>
      <c r="B17" s="4" t="s">
        <v>563</v>
      </c>
      <c r="C17" s="6" t="s">
        <v>564</v>
      </c>
      <c r="D17" s="4" t="s">
        <v>541</v>
      </c>
      <c r="E17" s="6" t="n">
        <v>2004</v>
      </c>
      <c r="F17" s="4" t="s">
        <v>55</v>
      </c>
      <c r="G17" s="4" t="s">
        <v>497</v>
      </c>
      <c r="H17" s="4" t="s">
        <v>552</v>
      </c>
      <c r="I17" s="4" t="s">
        <v>565</v>
      </c>
      <c r="J17" s="7" t="s">
        <v>566</v>
      </c>
      <c r="K17" s="8"/>
    </row>
    <row r="18" customFormat="false" ht="23.85" hidden="false" customHeight="false" outlineLevel="0" collapsed="false">
      <c r="A18" s="6" t="n">
        <v>1757</v>
      </c>
      <c r="B18" s="4" t="s">
        <v>567</v>
      </c>
      <c r="C18" s="6" t="s">
        <v>568</v>
      </c>
      <c r="D18" s="4" t="s">
        <v>541</v>
      </c>
      <c r="E18" s="6" t="n">
        <v>2026</v>
      </c>
      <c r="F18" s="4" t="s">
        <v>55</v>
      </c>
      <c r="G18" s="4" t="s">
        <v>497</v>
      </c>
      <c r="H18" s="4" t="s">
        <v>552</v>
      </c>
      <c r="I18" s="4" t="s">
        <v>569</v>
      </c>
      <c r="J18" s="7" t="s">
        <v>570</v>
      </c>
      <c r="K18" s="8"/>
    </row>
    <row r="19" customFormat="false" ht="15" hidden="false" customHeight="false" outlineLevel="0" collapsed="false">
      <c r="A19" s="6" t="n">
        <v>1477</v>
      </c>
      <c r="B19" s="4" t="s">
        <v>571</v>
      </c>
      <c r="C19" s="6" t="s">
        <v>572</v>
      </c>
      <c r="D19" s="4" t="s">
        <v>573</v>
      </c>
      <c r="E19" s="6" t="n">
        <v>2015</v>
      </c>
      <c r="F19" s="4" t="s">
        <v>55</v>
      </c>
      <c r="G19" s="4" t="s">
        <v>497</v>
      </c>
      <c r="H19" s="4" t="s">
        <v>574</v>
      </c>
      <c r="I19" s="4" t="s">
        <v>575</v>
      </c>
      <c r="J19" s="7" t="s">
        <v>576</v>
      </c>
      <c r="K19" s="8"/>
    </row>
    <row r="20" customFormat="false" ht="23.85" hidden="false" customHeight="false" outlineLevel="0" collapsed="false">
      <c r="A20" s="6" t="n">
        <v>1498</v>
      </c>
      <c r="B20" s="4" t="s">
        <v>577</v>
      </c>
      <c r="C20" s="6" t="s">
        <v>578</v>
      </c>
      <c r="D20" s="4" t="s">
        <v>573</v>
      </c>
      <c r="E20" s="6" t="n">
        <v>2019</v>
      </c>
      <c r="F20" s="4" t="s">
        <v>55</v>
      </c>
      <c r="G20" s="4" t="s">
        <v>497</v>
      </c>
      <c r="H20" s="4" t="s">
        <v>552</v>
      </c>
      <c r="I20" s="4" t="s">
        <v>579</v>
      </c>
      <c r="J20" s="7" t="s">
        <v>580</v>
      </c>
      <c r="K20" s="8"/>
    </row>
    <row r="21" customFormat="false" ht="23.85" hidden="false" customHeight="false" outlineLevel="0" collapsed="false">
      <c r="A21" s="6" t="n">
        <v>1439</v>
      </c>
      <c r="B21" s="4" t="s">
        <v>581</v>
      </c>
      <c r="C21" s="6"/>
      <c r="D21" s="4" t="s">
        <v>573</v>
      </c>
      <c r="E21" s="6" t="n">
        <v>2014</v>
      </c>
      <c r="F21" s="4" t="s">
        <v>55</v>
      </c>
      <c r="G21" s="4" t="s">
        <v>497</v>
      </c>
      <c r="H21" s="4" t="s">
        <v>582</v>
      </c>
      <c r="I21" s="4" t="s">
        <v>583</v>
      </c>
      <c r="J21" s="7" t="s">
        <v>584</v>
      </c>
      <c r="K21" s="8"/>
    </row>
    <row r="22" customFormat="false" ht="23.85" hidden="false" customHeight="false" outlineLevel="0" collapsed="false">
      <c r="A22" s="6" t="n">
        <v>559</v>
      </c>
      <c r="B22" s="4" t="s">
        <v>585</v>
      </c>
      <c r="C22" s="6" t="s">
        <v>586</v>
      </c>
      <c r="D22" s="4" t="s">
        <v>587</v>
      </c>
      <c r="E22" s="6" t="n">
        <v>1991</v>
      </c>
      <c r="F22" s="4" t="s">
        <v>55</v>
      </c>
      <c r="G22" s="4" t="s">
        <v>497</v>
      </c>
      <c r="H22" s="4" t="s">
        <v>588</v>
      </c>
      <c r="I22" s="4" t="s">
        <v>589</v>
      </c>
      <c r="J22" s="7" t="s">
        <v>590</v>
      </c>
      <c r="K22" s="8"/>
    </row>
    <row r="23" customFormat="false" ht="23.85" hidden="false" customHeight="false" outlineLevel="0" collapsed="false">
      <c r="A23" s="6" t="n">
        <v>1759</v>
      </c>
      <c r="B23" s="4" t="s">
        <v>591</v>
      </c>
      <c r="C23" s="6" t="s">
        <v>592</v>
      </c>
      <c r="D23" s="4" t="s">
        <v>593</v>
      </c>
      <c r="E23" s="6" t="n">
        <v>2026</v>
      </c>
      <c r="F23" s="4" t="s">
        <v>55</v>
      </c>
      <c r="G23" s="4" t="s">
        <v>497</v>
      </c>
      <c r="H23" s="4" t="s">
        <v>594</v>
      </c>
      <c r="I23" s="4" t="s">
        <v>595</v>
      </c>
      <c r="J23" s="7" t="s">
        <v>596</v>
      </c>
      <c r="K23" s="8"/>
    </row>
    <row r="24" customFormat="false" ht="29.85" hidden="false" customHeight="false" outlineLevel="0" collapsed="false">
      <c r="A24" s="6" t="n">
        <v>1675</v>
      </c>
      <c r="B24" s="4" t="s">
        <v>597</v>
      </c>
      <c r="C24" s="6" t="s">
        <v>598</v>
      </c>
      <c r="D24" s="4" t="s">
        <v>599</v>
      </c>
      <c r="E24" s="6" t="n">
        <v>2023</v>
      </c>
      <c r="F24" s="4" t="s">
        <v>275</v>
      </c>
      <c r="G24" s="4" t="s">
        <v>600</v>
      </c>
      <c r="H24" s="4" t="s">
        <v>601</v>
      </c>
      <c r="I24" s="4" t="s">
        <v>602</v>
      </c>
      <c r="J24" s="7" t="s">
        <v>603</v>
      </c>
      <c r="K24" s="8"/>
    </row>
    <row r="25" customFormat="false" ht="15" hidden="false" customHeight="false" outlineLevel="0" collapsed="false">
      <c r="A25" s="6" t="n">
        <v>1346</v>
      </c>
      <c r="B25" s="4" t="s">
        <v>604</v>
      </c>
      <c r="C25" s="6" t="s">
        <v>605</v>
      </c>
      <c r="D25" s="4" t="s">
        <v>606</v>
      </c>
      <c r="E25" s="6" t="n">
        <v>2010</v>
      </c>
      <c r="F25" s="4" t="s">
        <v>55</v>
      </c>
      <c r="G25" s="4" t="s">
        <v>497</v>
      </c>
      <c r="H25" s="4" t="s">
        <v>73</v>
      </c>
      <c r="I25" s="4" t="s">
        <v>607</v>
      </c>
      <c r="J25" s="7" t="s">
        <v>608</v>
      </c>
      <c r="K25" s="8"/>
    </row>
    <row r="26" customFormat="false" ht="15" hidden="false" customHeight="false" outlineLevel="0" collapsed="false">
      <c r="A26" s="6" t="n">
        <v>1544</v>
      </c>
      <c r="B26" s="4" t="s">
        <v>609</v>
      </c>
      <c r="C26" s="6"/>
      <c r="D26" s="4" t="s">
        <v>606</v>
      </c>
      <c r="E26" s="6" t="n">
        <v>2017</v>
      </c>
      <c r="F26" s="4" t="s">
        <v>55</v>
      </c>
      <c r="G26" s="4" t="s">
        <v>497</v>
      </c>
      <c r="H26" s="4" t="s">
        <v>73</v>
      </c>
      <c r="I26" s="4" t="s">
        <v>610</v>
      </c>
      <c r="J26" s="7" t="s">
        <v>611</v>
      </c>
      <c r="K26" s="8"/>
    </row>
    <row r="27" customFormat="false" ht="15" hidden="false" customHeight="false" outlineLevel="0" collapsed="false">
      <c r="A27" s="6" t="n">
        <v>1230</v>
      </c>
      <c r="B27" s="4" t="s">
        <v>612</v>
      </c>
      <c r="C27" s="6"/>
      <c r="D27" s="4" t="s">
        <v>613</v>
      </c>
      <c r="E27" s="6" t="n">
        <v>2009</v>
      </c>
      <c r="F27" s="4" t="s">
        <v>55</v>
      </c>
      <c r="G27" s="4" t="s">
        <v>497</v>
      </c>
      <c r="H27" s="4" t="s">
        <v>73</v>
      </c>
      <c r="I27" s="4" t="s">
        <v>614</v>
      </c>
      <c r="J27" s="7" t="s">
        <v>615</v>
      </c>
      <c r="K27" s="8"/>
    </row>
    <row r="28" customFormat="false" ht="15" hidden="false" customHeight="false" outlineLevel="0" collapsed="false">
      <c r="A28" s="6" t="n">
        <v>1627</v>
      </c>
      <c r="B28" s="4" t="s">
        <v>616</v>
      </c>
      <c r="C28" s="6" t="s">
        <v>617</v>
      </c>
      <c r="D28" s="4" t="s">
        <v>618</v>
      </c>
      <c r="E28" s="6" t="n">
        <v>2025</v>
      </c>
      <c r="F28" s="4" t="s">
        <v>55</v>
      </c>
      <c r="G28" s="4" t="s">
        <v>497</v>
      </c>
      <c r="H28" s="4" t="s">
        <v>73</v>
      </c>
      <c r="I28" s="4" t="s">
        <v>619</v>
      </c>
      <c r="J28" s="7" t="s">
        <v>620</v>
      </c>
      <c r="K28" s="8"/>
    </row>
    <row r="29" customFormat="false" ht="15" hidden="false" customHeight="false" outlineLevel="0" collapsed="false">
      <c r="A29" s="6" t="n">
        <v>1518</v>
      </c>
      <c r="B29" s="4" t="s">
        <v>621</v>
      </c>
      <c r="C29" s="6"/>
      <c r="D29" s="4" t="s">
        <v>622</v>
      </c>
      <c r="E29" s="6" t="n">
        <v>2016</v>
      </c>
      <c r="F29" s="4" t="s">
        <v>55</v>
      </c>
      <c r="G29" s="4" t="s">
        <v>497</v>
      </c>
      <c r="H29" s="4" t="s">
        <v>73</v>
      </c>
      <c r="I29" s="4" t="s">
        <v>623</v>
      </c>
      <c r="J29" s="7" t="s">
        <v>624</v>
      </c>
      <c r="K29" s="8"/>
    </row>
    <row r="30" customFormat="false" ht="29.85" hidden="false" customHeight="false" outlineLevel="0" collapsed="false">
      <c r="A30" s="6" t="n">
        <v>208</v>
      </c>
      <c r="B30" s="4" t="s">
        <v>625</v>
      </c>
      <c r="C30" s="6" t="s">
        <v>626</v>
      </c>
      <c r="D30" s="4" t="s">
        <v>627</v>
      </c>
      <c r="E30" s="6" t="n">
        <v>2003</v>
      </c>
      <c r="F30" s="4" t="s">
        <v>55</v>
      </c>
      <c r="G30" s="4" t="s">
        <v>546</v>
      </c>
      <c r="H30" s="4" t="s">
        <v>73</v>
      </c>
      <c r="I30" s="4" t="s">
        <v>628</v>
      </c>
      <c r="J30" s="7" t="s">
        <v>629</v>
      </c>
      <c r="K30" s="8"/>
    </row>
    <row r="31" customFormat="false" ht="23.85" hidden="false" customHeight="false" outlineLevel="0" collapsed="false">
      <c r="A31" s="6" t="n">
        <v>1448</v>
      </c>
      <c r="B31" s="4" t="s">
        <v>630</v>
      </c>
      <c r="C31" s="6"/>
      <c r="D31" s="4" t="s">
        <v>631</v>
      </c>
      <c r="E31" s="6" t="n">
        <v>2017</v>
      </c>
      <c r="F31" s="4" t="s">
        <v>275</v>
      </c>
      <c r="G31" s="4" t="s">
        <v>497</v>
      </c>
      <c r="H31" s="4" t="s">
        <v>632</v>
      </c>
      <c r="I31" s="4" t="s">
        <v>633</v>
      </c>
      <c r="J31" s="7" t="s">
        <v>634</v>
      </c>
      <c r="K31" s="8"/>
    </row>
    <row r="32" customFormat="false" ht="23.85" hidden="false" customHeight="false" outlineLevel="0" collapsed="false">
      <c r="A32" s="6" t="n">
        <v>340</v>
      </c>
      <c r="B32" s="4" t="s">
        <v>635</v>
      </c>
      <c r="C32" s="6" t="s">
        <v>636</v>
      </c>
      <c r="D32" s="4" t="s">
        <v>637</v>
      </c>
      <c r="E32" s="6" t="n">
        <v>1985</v>
      </c>
      <c r="F32" s="4" t="s">
        <v>55</v>
      </c>
      <c r="G32" s="4" t="s">
        <v>497</v>
      </c>
      <c r="H32" s="4" t="s">
        <v>632</v>
      </c>
      <c r="I32" s="4" t="s">
        <v>638</v>
      </c>
      <c r="J32" s="7" t="s">
        <v>639</v>
      </c>
      <c r="K32" s="8"/>
    </row>
    <row r="33" customFormat="false" ht="15" hidden="false" customHeight="false" outlineLevel="0" collapsed="false">
      <c r="A33" s="6" t="n">
        <v>1012</v>
      </c>
      <c r="B33" s="4" t="s">
        <v>640</v>
      </c>
      <c r="C33" s="6" t="s">
        <v>641</v>
      </c>
      <c r="D33" s="4" t="s">
        <v>484</v>
      </c>
      <c r="E33" s="6" t="n">
        <v>2000</v>
      </c>
      <c r="F33" s="4" t="s">
        <v>55</v>
      </c>
      <c r="G33" s="4" t="s">
        <v>497</v>
      </c>
      <c r="H33" s="4" t="s">
        <v>632</v>
      </c>
      <c r="I33" s="4" t="s">
        <v>642</v>
      </c>
      <c r="J33" s="7" t="s">
        <v>643</v>
      </c>
      <c r="K33" s="8"/>
    </row>
    <row r="34" customFormat="false" ht="35.05" hidden="false" customHeight="false" outlineLevel="0" collapsed="false">
      <c r="A34" s="6" t="n">
        <v>1574</v>
      </c>
      <c r="B34" s="4" t="s">
        <v>644</v>
      </c>
      <c r="C34" s="6" t="s">
        <v>645</v>
      </c>
      <c r="D34" s="4" t="s">
        <v>541</v>
      </c>
      <c r="E34" s="6" t="n">
        <v>2021</v>
      </c>
      <c r="F34" s="4" t="s">
        <v>55</v>
      </c>
      <c r="G34" s="4" t="s">
        <v>497</v>
      </c>
      <c r="H34" s="4" t="s">
        <v>632</v>
      </c>
      <c r="I34" s="4" t="s">
        <v>646</v>
      </c>
      <c r="J34" s="7" t="s">
        <v>647</v>
      </c>
      <c r="K34" s="8"/>
    </row>
  </sheetData>
  <autoFilter ref="A1:K34"/>
  <hyperlinks>
    <hyperlink ref="J2" r:id="rId1" display="https://whc.unesco.org/en/list/1223/"/>
    <hyperlink ref="J3" r:id="rId2" display="https://whc.unesco.org/en/list/948/"/>
    <hyperlink ref="J4" r:id="rId3" display="https://whc.unesco.org/en/list/1610/"/>
    <hyperlink ref="J5" r:id="rId4" display="https://whc.unesco.org/en/list/502/"/>
    <hyperlink ref="J6" r:id="rId5" display="https://whc.unesco.org/en/list/677/"/>
    <hyperlink ref="J7" r:id="rId6" display="https://whc.unesco.org/en/list/1328/"/>
    <hyperlink ref="J8" r:id="rId7" display="https://whc.unesco.org/en/list/1091/"/>
    <hyperlink ref="J9" r:id="rId8" display="https://whc.unesco.org/en/list/1537/"/>
    <hyperlink ref="J10" r:id="rId9" display="https://whc.unesco.org/en/list/144/"/>
    <hyperlink ref="J11" r:id="rId10" display="https://whc.unesco.org/en/list/365/"/>
    <hyperlink ref="J12" r:id="rId11" display="https://whc.unesco.org/en/list/1246/"/>
    <hyperlink ref="J13" r:id="rId12" display="https://whc.unesco.org/en/list/972/"/>
    <hyperlink ref="J14" r:id="rId13" display="https://whc.unesco.org/en/list/660/"/>
    <hyperlink ref="J15" r:id="rId14" display="https://whc.unesco.org/en/list/688/"/>
    <hyperlink ref="J16" r:id="rId15" display="https://whc.unesco.org/en/list/870/"/>
    <hyperlink ref="J17" r:id="rId16" display="https://whc.unesco.org/en/list/1142/"/>
    <hyperlink ref="J18" r:id="rId17" display="https://whc.unesco.org/en/list/1757/"/>
    <hyperlink ref="J19" r:id="rId18" display="https://whc.unesco.org/en/list/1477/"/>
    <hyperlink ref="J20" r:id="rId19" display="https://whc.unesco.org/en/list/1498/"/>
    <hyperlink ref="J21" r:id="rId20" display="https://whc.unesco.org/en/list/1439/"/>
    <hyperlink ref="J22" r:id="rId21" display="https://whc.unesco.org/en/list/559/"/>
    <hyperlink ref="J23" r:id="rId22" display="https://whc.unesco.org/en/list/1759/"/>
    <hyperlink ref="J24" r:id="rId23" display="https://whc.unesco.org/en/list/1675/"/>
    <hyperlink ref="J25" r:id="rId24" display="https://whc.unesco.org/en/list/1346/"/>
    <hyperlink ref="J26" r:id="rId25" display="https://whc.unesco.org/en/list/1544/"/>
    <hyperlink ref="J27" r:id="rId26" display="https://whc.unesco.org/en/list/1230/"/>
    <hyperlink ref="J28" r:id="rId27" display="https://whc.unesco.org/en/list/1627/"/>
    <hyperlink ref="J29" r:id="rId28" display="https://whc.unesco.org/en/list/1518/"/>
    <hyperlink ref="J30" r:id="rId29" display="https://whc.unesco.org/en/list/208/"/>
    <hyperlink ref="J31" r:id="rId30" display="https://whc.unesco.org/en/list/1448/"/>
    <hyperlink ref="J32" r:id="rId31" display="https://whc.unesco.org/en/list/340/"/>
    <hyperlink ref="J33" r:id="rId32" display="https://whc.unesco.org/en/list/1012/"/>
    <hyperlink ref="J34" r:id="rId33" display="https://whc.unesco.org/en/list/157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3" min="3" style="0" width="24"/>
    <col collapsed="false" customWidth="true" hidden="false" outlineLevel="0" max="4" min="4" style="0" width="18"/>
    <col collapsed="false" customWidth="true" hidden="false" outlineLevel="0" max="5" min="5" style="0" width="26"/>
    <col collapsed="false" customWidth="true" hidden="false" outlineLevel="0" max="6" min="6" style="0" width="20"/>
    <col collapsed="false" customWidth="true" hidden="false" outlineLevel="0" max="7" min="7" style="0" width="70"/>
    <col collapsed="false" customWidth="true" hidden="false" outlineLevel="0" max="8" min="8" style="0" width="40"/>
  </cols>
  <sheetData>
    <row r="1" customFormat="false" ht="31.5" hidden="false" customHeight="true" outlineLevel="0" collapsed="false">
      <c r="A1" s="5" t="s">
        <v>648</v>
      </c>
      <c r="B1" s="5" t="s">
        <v>649</v>
      </c>
      <c r="C1" s="5" t="s">
        <v>650</v>
      </c>
      <c r="D1" s="5" t="s">
        <v>651</v>
      </c>
      <c r="E1" s="5" t="s">
        <v>652</v>
      </c>
      <c r="F1" s="5" t="s">
        <v>653</v>
      </c>
      <c r="G1" s="5" t="s">
        <v>354</v>
      </c>
      <c r="H1" s="5" t="s">
        <v>654</v>
      </c>
    </row>
    <row r="2" customFormat="false" ht="46.25" hidden="false" customHeight="false" outlineLevel="0" collapsed="false">
      <c r="A2" s="4" t="s">
        <v>655</v>
      </c>
      <c r="B2" s="4" t="s">
        <v>656</v>
      </c>
      <c r="C2" s="4" t="s">
        <v>657</v>
      </c>
      <c r="D2" s="4" t="s">
        <v>658</v>
      </c>
      <c r="E2" s="4" t="s">
        <v>659</v>
      </c>
      <c r="F2" s="4" t="s">
        <v>660</v>
      </c>
      <c r="G2" s="4" t="s">
        <v>661</v>
      </c>
      <c r="H2" s="7" t="s">
        <v>662</v>
      </c>
    </row>
    <row r="3" customFormat="false" ht="23.85" hidden="false" customHeight="false" outlineLevel="0" collapsed="false">
      <c r="A3" s="4" t="s">
        <v>655</v>
      </c>
      <c r="B3" s="4" t="s">
        <v>663</v>
      </c>
      <c r="C3" s="4" t="s">
        <v>664</v>
      </c>
      <c r="D3" s="4" t="s">
        <v>665</v>
      </c>
      <c r="E3" s="4" t="s">
        <v>666</v>
      </c>
      <c r="F3" s="4" t="s">
        <v>667</v>
      </c>
      <c r="G3" s="4" t="s">
        <v>668</v>
      </c>
      <c r="H3" s="7" t="s">
        <v>669</v>
      </c>
    </row>
    <row r="4" customFormat="false" ht="23.85" hidden="false" customHeight="false" outlineLevel="0" collapsed="false">
      <c r="A4" s="4" t="s">
        <v>670</v>
      </c>
      <c r="B4" s="4" t="s">
        <v>671</v>
      </c>
      <c r="C4" s="4" t="s">
        <v>672</v>
      </c>
      <c r="D4" s="4" t="s">
        <v>673</v>
      </c>
      <c r="E4" s="4" t="s">
        <v>674</v>
      </c>
      <c r="F4" s="4" t="s">
        <v>675</v>
      </c>
      <c r="G4" s="4" t="s">
        <v>676</v>
      </c>
      <c r="H4" s="7" t="s">
        <v>677</v>
      </c>
    </row>
    <row r="5" customFormat="false" ht="23.85" hidden="false" customHeight="false" outlineLevel="0" collapsed="false">
      <c r="A5" s="4" t="s">
        <v>678</v>
      </c>
      <c r="B5" s="4" t="s">
        <v>679</v>
      </c>
      <c r="C5" s="4" t="s">
        <v>680</v>
      </c>
      <c r="D5" s="4" t="s">
        <v>681</v>
      </c>
      <c r="E5" s="4" t="s">
        <v>666</v>
      </c>
      <c r="F5" s="4" t="s">
        <v>682</v>
      </c>
      <c r="G5" s="4" t="s">
        <v>683</v>
      </c>
      <c r="H5" s="7" t="s">
        <v>684</v>
      </c>
    </row>
    <row r="6" customFormat="false" ht="23.85" hidden="false" customHeight="false" outlineLevel="0" collapsed="false">
      <c r="A6" s="4" t="s">
        <v>678</v>
      </c>
      <c r="B6" s="4" t="s">
        <v>685</v>
      </c>
      <c r="C6" s="4" t="s">
        <v>680</v>
      </c>
      <c r="D6" s="4" t="s">
        <v>681</v>
      </c>
      <c r="E6" s="4" t="s">
        <v>666</v>
      </c>
      <c r="F6" s="4" t="s">
        <v>682</v>
      </c>
      <c r="G6" s="4" t="s">
        <v>686</v>
      </c>
      <c r="H6" s="7" t="s">
        <v>684</v>
      </c>
    </row>
    <row r="7" customFormat="false" ht="23.85" hidden="false" customHeight="false" outlineLevel="0" collapsed="false">
      <c r="A7" s="4" t="s">
        <v>678</v>
      </c>
      <c r="B7" s="4" t="s">
        <v>687</v>
      </c>
      <c r="C7" s="4" t="s">
        <v>680</v>
      </c>
      <c r="D7" s="4" t="s">
        <v>688</v>
      </c>
      <c r="E7" s="4" t="s">
        <v>689</v>
      </c>
      <c r="F7" s="4" t="s">
        <v>690</v>
      </c>
      <c r="G7" s="4" t="s">
        <v>691</v>
      </c>
      <c r="H7" s="7" t="s">
        <v>684</v>
      </c>
    </row>
    <row r="8" customFormat="false" ht="46.25" hidden="false" customHeight="false" outlineLevel="0" collapsed="false">
      <c r="A8" s="4" t="s">
        <v>692</v>
      </c>
      <c r="B8" s="4" t="s">
        <v>693</v>
      </c>
      <c r="C8" s="4" t="s">
        <v>680</v>
      </c>
      <c r="D8" s="4" t="s">
        <v>694</v>
      </c>
      <c r="E8" s="4" t="s">
        <v>695</v>
      </c>
      <c r="F8" s="4" t="s">
        <v>696</v>
      </c>
      <c r="G8" s="4" t="s">
        <v>697</v>
      </c>
      <c r="H8" s="7" t="s">
        <v>698</v>
      </c>
    </row>
    <row r="9" customFormat="false" ht="35.05" hidden="false" customHeight="false" outlineLevel="0" collapsed="false">
      <c r="A9" s="4" t="s">
        <v>699</v>
      </c>
      <c r="B9" s="4" t="s">
        <v>700</v>
      </c>
      <c r="C9" s="4" t="s">
        <v>701</v>
      </c>
      <c r="D9" s="4" t="s">
        <v>702</v>
      </c>
      <c r="E9" s="4" t="s">
        <v>703</v>
      </c>
      <c r="F9" s="4" t="s">
        <v>704</v>
      </c>
      <c r="G9" s="4" t="s">
        <v>705</v>
      </c>
      <c r="H9" s="7" t="s">
        <v>706</v>
      </c>
    </row>
    <row r="10" customFormat="false" ht="46.25" hidden="false" customHeight="false" outlineLevel="0" collapsed="false">
      <c r="A10" s="4" t="s">
        <v>707</v>
      </c>
      <c r="B10" s="4" t="s">
        <v>708</v>
      </c>
      <c r="C10" s="4" t="s">
        <v>709</v>
      </c>
      <c r="D10" s="4" t="s">
        <v>710</v>
      </c>
      <c r="E10" s="4" t="s">
        <v>711</v>
      </c>
      <c r="F10" s="4" t="s">
        <v>73</v>
      </c>
      <c r="G10" s="4" t="s">
        <v>712</v>
      </c>
      <c r="H10" s="7" t="s">
        <v>713</v>
      </c>
    </row>
    <row r="11" customFormat="false" ht="35.05" hidden="false" customHeight="false" outlineLevel="0" collapsed="false">
      <c r="A11" s="4" t="s">
        <v>714</v>
      </c>
      <c r="B11" s="4" t="s">
        <v>715</v>
      </c>
      <c r="C11" s="4" t="s">
        <v>716</v>
      </c>
      <c r="D11" s="4" t="s">
        <v>717</v>
      </c>
      <c r="E11" s="4" t="s">
        <v>718</v>
      </c>
      <c r="F11" s="4" t="s">
        <v>719</v>
      </c>
      <c r="G11" s="4" t="s">
        <v>720</v>
      </c>
      <c r="H11" s="7" t="s">
        <v>721</v>
      </c>
    </row>
  </sheetData>
  <autoFilter ref="A1:H11"/>
  <hyperlinks>
    <hyperlink ref="H2" r:id="rId1" display="https://ich.unesco.org/en/RL/ong-chun-wangchuan-wangkang-ceremony-rituals-and-related-practices-for-maintaining-the-sustainable-connection-between-man-and-the-ocean-01608"/>
    <hyperlink ref="H3" r:id="rId2" display="https://ich.unesco.org/en/RL/urtiin-duu-traditional-folk-long-song-00115"/>
    <hyperlink ref="H4" r:id="rId3" display="https://ich.unesco.org/en/RL/mongolian-art-of-singing-khoomei-00210 ; https://ich.unesco.org/en/RL/mongolian-traditional-art-of-khoomei-00396"/>
    <hyperlink ref="H5" r:id="rId4" display="https://ich.unesco.org/en/state/china-CN?info=elements-on-the-lists"/>
    <hyperlink ref="H6" r:id="rId5" display="https://ich.unesco.org/en/state/china-CN?info=elements-on-the-lists"/>
    <hyperlink ref="H7" r:id="rId6" display="https://ich.unesco.org/en/state/china-CN?info=elements-on-the-lists"/>
    <hyperlink ref="H8" r:id="rId7" display="https://www.unesco.org/en/memory-world/qiaopi-and-yinxin-correspondence-and-remittance-documents-overseas-chinese"/>
    <hyperlink ref="H9" r:id="rId8" display="https://en.unesco.org/silkroad"/>
    <hyperlink ref="H10" r:id="rId9" display="https://southsouth-galaxy.org/solution/safeguarding-world-heritage-along-the-silk-roads/"/>
    <hyperlink ref="H11" r:id="rId10" display="https://whitrap.pku.edu.cn/About_us/Introduction_Center.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26"/>
    <col collapsed="false" customWidth="true" hidden="false" outlineLevel="0" max="3" min="3" style="0" width="8"/>
    <col collapsed="false" customWidth="true" hidden="false" outlineLevel="0" max="4" min="4" style="0" width="50"/>
  </cols>
  <sheetData>
    <row r="1" customFormat="false" ht="31.5" hidden="false" customHeight="true" outlineLevel="0" collapsed="false">
      <c r="A1" s="5" t="s">
        <v>722</v>
      </c>
      <c r="B1" s="5" t="s">
        <v>723</v>
      </c>
      <c r="C1" s="5" t="s">
        <v>724</v>
      </c>
      <c r="D1" s="5" t="s">
        <v>725</v>
      </c>
    </row>
    <row r="2" customFormat="false" ht="15" hidden="false" customHeight="false" outlineLevel="0" collapsed="false">
      <c r="A2" s="4" t="s">
        <v>726</v>
      </c>
      <c r="B2" s="4" t="s">
        <v>727</v>
      </c>
      <c r="C2" s="4" t="s">
        <v>226</v>
      </c>
      <c r="D2" s="7" t="s">
        <v>728</v>
      </c>
    </row>
    <row r="3" customFormat="false" ht="15" hidden="false" customHeight="false" outlineLevel="0" collapsed="false">
      <c r="A3" s="4" t="s">
        <v>729</v>
      </c>
      <c r="B3" s="4" t="s">
        <v>730</v>
      </c>
      <c r="C3" s="4" t="s">
        <v>226</v>
      </c>
      <c r="D3" s="7" t="s">
        <v>731</v>
      </c>
    </row>
    <row r="4" customFormat="false" ht="15" hidden="false" customHeight="false" outlineLevel="0" collapsed="false">
      <c r="A4" s="4" t="s">
        <v>732</v>
      </c>
      <c r="B4" s="4" t="s">
        <v>733</v>
      </c>
      <c r="C4" s="4" t="s">
        <v>226</v>
      </c>
      <c r="D4" s="7" t="s">
        <v>734</v>
      </c>
    </row>
    <row r="5" customFormat="false" ht="15" hidden="false" customHeight="false" outlineLevel="0" collapsed="false">
      <c r="A5" s="4" t="s">
        <v>735</v>
      </c>
      <c r="B5" s="4" t="s">
        <v>736</v>
      </c>
      <c r="C5" s="4" t="s">
        <v>226</v>
      </c>
      <c r="D5" s="7" t="s">
        <v>737</v>
      </c>
    </row>
    <row r="6" customFormat="false" ht="15" hidden="false" customHeight="false" outlineLevel="0" collapsed="false">
      <c r="A6" s="4" t="s">
        <v>738</v>
      </c>
      <c r="B6" s="4" t="s">
        <v>739</v>
      </c>
      <c r="C6" s="4" t="s">
        <v>740</v>
      </c>
      <c r="D6" s="7" t="s">
        <v>741</v>
      </c>
    </row>
    <row r="7" customFormat="false" ht="15" hidden="false" customHeight="false" outlineLevel="0" collapsed="false">
      <c r="A7" s="4" t="s">
        <v>742</v>
      </c>
      <c r="B7" s="4" t="s">
        <v>739</v>
      </c>
      <c r="C7" s="4" t="s">
        <v>743</v>
      </c>
      <c r="D7" s="7" t="s">
        <v>744</v>
      </c>
    </row>
    <row r="8" customFormat="false" ht="15" hidden="false" customHeight="false" outlineLevel="0" collapsed="false">
      <c r="A8" s="4" t="s">
        <v>745</v>
      </c>
      <c r="B8" s="4" t="s">
        <v>739</v>
      </c>
      <c r="C8" s="4" t="s">
        <v>746</v>
      </c>
      <c r="D8" s="7" t="s">
        <v>747</v>
      </c>
    </row>
    <row r="9" customFormat="false" ht="15" hidden="false" customHeight="false" outlineLevel="0" collapsed="false">
      <c r="A9" s="4" t="s">
        <v>748</v>
      </c>
      <c r="B9" s="4" t="s">
        <v>739</v>
      </c>
      <c r="C9" s="4" t="s">
        <v>749</v>
      </c>
      <c r="D9" s="7" t="s">
        <v>750</v>
      </c>
    </row>
    <row r="10" customFormat="false" ht="15" hidden="false" customHeight="false" outlineLevel="0" collapsed="false">
      <c r="A10" s="4" t="s">
        <v>751</v>
      </c>
      <c r="B10" s="4" t="s">
        <v>739</v>
      </c>
      <c r="C10" s="4" t="s">
        <v>752</v>
      </c>
      <c r="D10" s="7" t="s">
        <v>753</v>
      </c>
    </row>
    <row r="11" customFormat="false" ht="15" hidden="false" customHeight="false" outlineLevel="0" collapsed="false">
      <c r="A11" s="4" t="s">
        <v>754</v>
      </c>
      <c r="B11" s="4" t="s">
        <v>739</v>
      </c>
      <c r="C11" s="4" t="s">
        <v>755</v>
      </c>
      <c r="D11" s="7" t="s">
        <v>756</v>
      </c>
    </row>
    <row r="12" customFormat="false" ht="15" hidden="false" customHeight="false" outlineLevel="0" collapsed="false">
      <c r="A12" s="4" t="s">
        <v>757</v>
      </c>
      <c r="B12" s="4" t="s">
        <v>758</v>
      </c>
      <c r="C12" s="4" t="s">
        <v>740</v>
      </c>
      <c r="D12" s="7" t="s">
        <v>759</v>
      </c>
    </row>
    <row r="13" customFormat="false" ht="15" hidden="false" customHeight="false" outlineLevel="0" collapsed="false">
      <c r="A13" s="4" t="s">
        <v>760</v>
      </c>
      <c r="B13" s="4" t="s">
        <v>758</v>
      </c>
      <c r="C13" s="4" t="s">
        <v>740</v>
      </c>
      <c r="D13" s="7" t="s">
        <v>761</v>
      </c>
    </row>
    <row r="14" customFormat="false" ht="15" hidden="false" customHeight="false" outlineLevel="0" collapsed="false">
      <c r="A14" s="4" t="s">
        <v>762</v>
      </c>
      <c r="B14" s="4" t="s">
        <v>763</v>
      </c>
      <c r="C14" s="4" t="s">
        <v>752</v>
      </c>
      <c r="D14" s="7" t="s">
        <v>764</v>
      </c>
    </row>
    <row r="15" customFormat="false" ht="15" hidden="false" customHeight="false" outlineLevel="0" collapsed="false">
      <c r="A15" s="4" t="s">
        <v>765</v>
      </c>
      <c r="B15" s="4" t="s">
        <v>766</v>
      </c>
      <c r="C15" s="4" t="s">
        <v>317</v>
      </c>
      <c r="D15" s="7" t="s">
        <v>767</v>
      </c>
    </row>
    <row r="16" customFormat="false" ht="15" hidden="false" customHeight="false" outlineLevel="0" collapsed="false">
      <c r="A16" s="4" t="s">
        <v>768</v>
      </c>
      <c r="B16" s="4" t="s">
        <v>766</v>
      </c>
      <c r="C16" s="4" t="s">
        <v>658</v>
      </c>
      <c r="D16" s="7" t="s">
        <v>769</v>
      </c>
    </row>
    <row r="17" customFormat="false" ht="15" hidden="false" customHeight="false" outlineLevel="0" collapsed="false">
      <c r="A17" s="4" t="s">
        <v>770</v>
      </c>
      <c r="B17" s="4" t="s">
        <v>766</v>
      </c>
      <c r="C17" s="4" t="s">
        <v>746</v>
      </c>
      <c r="D17" s="7" t="s">
        <v>771</v>
      </c>
    </row>
    <row r="18" customFormat="false" ht="15" hidden="false" customHeight="false" outlineLevel="0" collapsed="false">
      <c r="A18" s="4" t="s">
        <v>770</v>
      </c>
      <c r="B18" s="4" t="s">
        <v>766</v>
      </c>
      <c r="C18" s="4" t="s">
        <v>743</v>
      </c>
      <c r="D18" s="7" t="s">
        <v>772</v>
      </c>
    </row>
    <row r="19" customFormat="false" ht="15" hidden="false" customHeight="false" outlineLevel="0" collapsed="false">
      <c r="A19" s="4" t="s">
        <v>773</v>
      </c>
      <c r="B19" s="4" t="s">
        <v>766</v>
      </c>
      <c r="C19" s="4" t="s">
        <v>743</v>
      </c>
      <c r="D19" s="7" t="s">
        <v>774</v>
      </c>
    </row>
    <row r="20" customFormat="false" ht="15" hidden="false" customHeight="false" outlineLevel="0" collapsed="false">
      <c r="A20" s="4" t="s">
        <v>770</v>
      </c>
      <c r="B20" s="4" t="s">
        <v>766</v>
      </c>
      <c r="C20" s="4" t="s">
        <v>740</v>
      </c>
      <c r="D20" s="7" t="s">
        <v>775</v>
      </c>
    </row>
    <row r="21" customFormat="false" ht="15" hidden="false" customHeight="false" outlineLevel="0" collapsed="false">
      <c r="A21" s="4" t="s">
        <v>776</v>
      </c>
      <c r="B21" s="4" t="s">
        <v>766</v>
      </c>
      <c r="C21" s="4" t="s">
        <v>740</v>
      </c>
      <c r="D21" s="7" t="s">
        <v>777</v>
      </c>
    </row>
    <row r="22" customFormat="false" ht="15" hidden="false" customHeight="false" outlineLevel="0" collapsed="false">
      <c r="A22" s="4" t="s">
        <v>778</v>
      </c>
      <c r="B22" s="4" t="s">
        <v>766</v>
      </c>
      <c r="C22" s="4" t="s">
        <v>779</v>
      </c>
      <c r="D22" s="7" t="s">
        <v>780</v>
      </c>
    </row>
  </sheetData>
  <autoFilter ref="A1:D22"/>
  <hyperlinks>
    <hyperlink ref="D2" r:id="rId1" display="https://whc.unesco.org/uploads/nominations/1442.pdf"/>
    <hyperlink ref="D3" r:id="rId2" display="https://whc.unesco.org/document/152690"/>
    <hyperlink ref="D4" r:id="rId3" display="https://whc.unesco.org/document/132728"/>
    <hyperlink ref="D5" r:id="rId4" display="https://whc.unesco.org/en/decisions/6110"/>
    <hyperlink ref="D6" r:id="rId5" display="https://whc.unesco.org/en/decisions/6699"/>
    <hyperlink ref="D7" r:id="rId6" display="https://whc.unesco.org/en/decisions/7087"/>
    <hyperlink ref="D8" r:id="rId7" display="https://whc.unesco.org/en/decisions/7234"/>
    <hyperlink ref="D9" r:id="rId8" display="https://whc.unesco.org/en/decisions/7740"/>
    <hyperlink ref="D10" r:id="rId9" display="https://whc.unesco.org/en/decisions/8160"/>
    <hyperlink ref="D11" r:id="rId10" display="https://whc.unesco.org/en/decisions/8791"/>
    <hyperlink ref="D12" r:id="rId11" display="https://whc.unesco.org/document/142401"/>
    <hyperlink ref="D13" r:id="rId12" display="https://whc.unesco.org/document/158586"/>
    <hyperlink ref="D14" r:id="rId13" display="https://whc.unesco.org/document/217919"/>
    <hyperlink ref="D15" r:id="rId14" display="https://whc.unesco.org/document/218280"/>
    <hyperlink ref="D16" r:id="rId15" display="https://whc.unesco.org/document/180694"/>
    <hyperlink ref="D17" r:id="rId16" display="https://whc.unesco.org/document/166338"/>
    <hyperlink ref="D18" r:id="rId17" display="https://whc.unesco.org/document/156862"/>
    <hyperlink ref="D19" r:id="rId18" display="https://whc.unesco.org/document/165239"/>
    <hyperlink ref="D20" r:id="rId19" display="https://whc.unesco.org/document/139846"/>
    <hyperlink ref="D21" r:id="rId20" display="https://whc.unesco.org/document/139897"/>
    <hyperlink ref="D22" r:id="rId21" display="https://whc.unesco.org/document/13985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2"/>
    <col collapsed="false" customWidth="true" hidden="false" outlineLevel="0" max="3" min="3" style="0" width="16"/>
    <col collapsed="false" customWidth="true" hidden="false" outlineLevel="0" max="4" min="4" style="0" width="50"/>
    <col collapsed="false" customWidth="true" hidden="false" outlineLevel="0" max="5" min="5" style="0" width="70"/>
  </cols>
  <sheetData>
    <row r="1" customFormat="false" ht="31.5" hidden="false" customHeight="true" outlineLevel="0" collapsed="false">
      <c r="A1" s="5" t="s">
        <v>781</v>
      </c>
      <c r="B1" s="5" t="s">
        <v>725</v>
      </c>
      <c r="C1" s="5" t="s">
        <v>782</v>
      </c>
      <c r="D1" s="5" t="s">
        <v>783</v>
      </c>
      <c r="E1" s="5" t="s">
        <v>784</v>
      </c>
    </row>
    <row r="2" customFormat="false" ht="57.45" hidden="false" customHeight="false" outlineLevel="0" collapsed="false">
      <c r="A2" s="4" t="s">
        <v>785</v>
      </c>
      <c r="B2" s="7" t="s">
        <v>786</v>
      </c>
      <c r="C2" s="4" t="s">
        <v>787</v>
      </c>
      <c r="D2" s="4" t="s">
        <v>788</v>
      </c>
      <c r="E2" s="4" t="s">
        <v>789</v>
      </c>
    </row>
    <row r="3" customFormat="false" ht="35.05" hidden="false" customHeight="false" outlineLevel="0" collapsed="false">
      <c r="A3" s="4" t="s">
        <v>790</v>
      </c>
      <c r="B3" s="7" t="s">
        <v>791</v>
      </c>
      <c r="C3" s="4" t="s">
        <v>787</v>
      </c>
      <c r="D3" s="4" t="s">
        <v>792</v>
      </c>
      <c r="E3" s="4" t="s">
        <v>793</v>
      </c>
    </row>
    <row r="4" customFormat="false" ht="23.85" hidden="false" customHeight="false" outlineLevel="0" collapsed="false">
      <c r="A4" s="4" t="s">
        <v>794</v>
      </c>
      <c r="B4" s="7" t="s">
        <v>795</v>
      </c>
      <c r="C4" s="4" t="s">
        <v>787</v>
      </c>
      <c r="D4" s="4" t="s">
        <v>796</v>
      </c>
      <c r="E4" s="4" t="s">
        <v>797</v>
      </c>
    </row>
    <row r="5" customFormat="false" ht="35.05" hidden="false" customHeight="false" outlineLevel="0" collapsed="false">
      <c r="A5" s="4" t="s">
        <v>798</v>
      </c>
      <c r="B5" s="7" t="s">
        <v>488</v>
      </c>
      <c r="C5" s="4" t="s">
        <v>799</v>
      </c>
      <c r="D5" s="4" t="s">
        <v>800</v>
      </c>
      <c r="E5" s="4" t="s">
        <v>801</v>
      </c>
    </row>
    <row r="6" customFormat="false" ht="23.85" hidden="false" customHeight="false" outlineLevel="0" collapsed="false">
      <c r="A6" s="4" t="s">
        <v>802</v>
      </c>
      <c r="B6" s="7" t="s">
        <v>279</v>
      </c>
      <c r="C6" s="4" t="s">
        <v>803</v>
      </c>
      <c r="D6" s="4" t="s">
        <v>804</v>
      </c>
      <c r="E6" s="4" t="s">
        <v>805</v>
      </c>
    </row>
    <row r="7" customFormat="false" ht="23.85" hidden="false" customHeight="false" outlineLevel="0" collapsed="false">
      <c r="A7" s="4" t="s">
        <v>806</v>
      </c>
      <c r="B7" s="7" t="s">
        <v>807</v>
      </c>
      <c r="C7" s="4" t="s">
        <v>799</v>
      </c>
      <c r="D7" s="4" t="s">
        <v>808</v>
      </c>
      <c r="E7" s="4" t="s">
        <v>809</v>
      </c>
    </row>
    <row r="8" customFormat="false" ht="15" hidden="false" customHeight="false" outlineLevel="0" collapsed="false">
      <c r="A8" s="4" t="s">
        <v>810</v>
      </c>
      <c r="B8" s="7" t="s">
        <v>811</v>
      </c>
      <c r="C8" s="4" t="s">
        <v>799</v>
      </c>
      <c r="D8" s="4" t="s">
        <v>812</v>
      </c>
      <c r="E8" s="4" t="s">
        <v>813</v>
      </c>
    </row>
    <row r="9" customFormat="false" ht="23.85" hidden="false" customHeight="false" outlineLevel="0" collapsed="false">
      <c r="A9" s="4" t="s">
        <v>814</v>
      </c>
      <c r="B9" s="7" t="s">
        <v>684</v>
      </c>
      <c r="C9" s="4" t="s">
        <v>799</v>
      </c>
      <c r="D9" s="4" t="s">
        <v>815</v>
      </c>
      <c r="E9" s="4" t="s">
        <v>816</v>
      </c>
    </row>
    <row r="10" customFormat="false" ht="15" hidden="false" customHeight="false" outlineLevel="0" collapsed="false">
      <c r="A10" s="4" t="s">
        <v>692</v>
      </c>
      <c r="B10" s="7" t="s">
        <v>817</v>
      </c>
      <c r="C10" s="4" t="s">
        <v>799</v>
      </c>
      <c r="D10" s="4" t="s">
        <v>818</v>
      </c>
      <c r="E10" s="4" t="s">
        <v>819</v>
      </c>
    </row>
    <row r="11" customFormat="false" ht="15" hidden="false" customHeight="false" outlineLevel="0" collapsed="false">
      <c r="A11" s="4" t="s">
        <v>820</v>
      </c>
      <c r="B11" s="7" t="s">
        <v>821</v>
      </c>
      <c r="C11" s="4" t="s">
        <v>822</v>
      </c>
      <c r="D11" s="4" t="s">
        <v>823</v>
      </c>
      <c r="E11" s="4" t="s">
        <v>824</v>
      </c>
    </row>
  </sheetData>
  <autoFilter ref="A1:E11"/>
  <hyperlinks>
    <hyperlink ref="B2" r:id="rId1" display="https://whc.unesco.org/en/list/xml/"/>
    <hyperlink ref="B3" r:id="rId2" display="https://whc.unesco.org/zh/list/xml/"/>
    <hyperlink ref="B4" r:id="rId3" display="https://whc.unesco.org/en/syndication"/>
    <hyperlink ref="B5" r:id="rId4" display="https://whc.unesco.org/en/list/1223/"/>
    <hyperlink ref="B6" r:id="rId5" display="https://whc.unesco.org/en/list/1442/documents/"/>
    <hyperlink ref="B7" r:id="rId6" display="https://whc.unesco.org/en/statesparties/cn"/>
    <hyperlink ref="B8" r:id="rId7" display="https://whc.unesco.org/en/decisions/"/>
    <hyperlink ref="B9" r:id="rId8" display="https://ich.unesco.org/en/state/china-CN?info=elements-on-the-lists"/>
    <hyperlink ref="B10" r:id="rId9" display="https://www.unesco.org/en/memory-world"/>
    <hyperlink ref="B11" r:id="rId10" display="https://www.wikidata.or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2026-09-30T20:40:19Z</dcterms:created>
  <dc:creator>openpyxl</dc:creator>
  <dc:description/>
  <dc:language>en-US</dc:language>
  <cp:lastModifiedBy/>
  <dcterms:modified xsi:type="dcterms:W3CDTF">2026-09-30T20:40:19Z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
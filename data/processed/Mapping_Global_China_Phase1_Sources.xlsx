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ina WH List" sheetId="2" state="visible" r:id="rId4"/>
    <sheet name="China Tentative List" sheetId="3" state="visible" r:id="rId5"/>
    <sheet name="Sites Abroad Linked to China" sheetId="4" state="visible" r:id="rId6"/>
    <sheet name="Other UNESCO Records" sheetId="5" state="visible" r:id="rId7"/>
    <sheet name="Docs - Silk Roads 1442" sheetId="6" state="visible" r:id="rId8"/>
    <sheet name="Data Access" sheetId="7" state="visible" r:id="rId9"/>
    <sheet name="1b Chinese Sources" sheetId="8" state="visible" r:id="rId10"/>
    <sheet name="1b Framing Examples" sheetId="9" state="visible" r:id="rId11"/>
    <sheet name="1b Chinese Projects Abroad" sheetId="10" state="visible" r:id="rId12"/>
  </sheets>
  <definedNames>
    <definedName function="false" hidden="true" localSheetId="9" name="_xlnm._FilterDatabase" vbProcedure="false">'1b Chinese Projects Abroad'!$A$1:$H$16</definedName>
    <definedName function="false" hidden="true" localSheetId="7" name="_xlnm._FilterDatabase" vbProcedure="false">'1b Chinese Sources'!$A$1:$K$13</definedName>
    <definedName function="false" hidden="true" localSheetId="8" name="_xlnm._FilterDatabase" vbProcedure="false">'1b Framing Examples'!$A$1:$H$21</definedName>
    <definedName function="false" hidden="true" localSheetId="2" name="_xlnm._FilterDatabase" vbProcedure="false">'China Tentative List'!$A$1:$H$61</definedName>
    <definedName function="false" hidden="true" localSheetId="1" name="_xlnm._FilterDatabase" vbProcedure="false">'China WH List'!$A$1:$R$62</definedName>
    <definedName function="false" hidden="true" localSheetId="6" name="_xlnm._FilterDatabase" vbProcedure="false">'Data Access'!$A$1:$E$11</definedName>
    <definedName function="false" hidden="true" localSheetId="5" name="_xlnm._FilterDatabase" vbProcedure="false">'Docs - Silk Roads 1442'!$A$1:$D$22</definedName>
    <definedName function="false" hidden="true" localSheetId="4" name="_xlnm._FilterDatabase" vbProcedure="false">'Other UNESCO Records'!$A$1:$H$11</definedName>
    <definedName function="false" hidden="true" localSheetId="3" name="_xlnm._FilterDatabase" vbProcedure="false">'Sites Abroad Linked to China'!$A$1:$K$34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<sst xmlns="http://schemas.openxmlformats.org/spreadsheetml/2006/main" count="1547" uniqueCount="1141">
  <si>
    <t xml:space="preserve">Mapping Global China - Phase 1 source inventory (1a UNESCO, 1b Chinese sources)</t>
  </si>
  <si>
    <t xml:space="preserve">As of 2026-09-30. Built from UNESCO's World Heritage syndication feeds (EN and ZH), UNESCO site, Tentative List and ICH pages.</t>
  </si>
  <si>
    <t xml:space="preserve">Summary</t>
  </si>
  <si>
    <t xml:space="preserve">China World Heritage properties</t>
  </si>
  <si>
    <t xml:space="preserve">  of which Cultural</t>
  </si>
  <si>
    <t xml:space="preserve">  of which Natural</t>
  </si>
  <si>
    <t xml:space="preserve">  of which Mixed</t>
  </si>
  <si>
    <t xml:space="preserve">  of which transnational</t>
  </si>
  <si>
    <t xml:space="preserve">  with an outward link in UNESCO's text</t>
  </si>
  <si>
    <t xml:space="preserve">China Tentative List entries</t>
  </si>
  <si>
    <t xml:space="preserve">  with a Silk Road / maritime link</t>
  </si>
  <si>
    <t xml:space="preserve">World Heritage sites abroad linked to China in UNESCO text</t>
  </si>
  <si>
    <t xml:space="preserve">  excluding geographic-only mentions</t>
  </si>
  <si>
    <t xml:space="preserve">Sheets</t>
  </si>
  <si>
    <t xml:space="preserve">China WH List</t>
  </si>
  <si>
    <t xml:space="preserve">All 61 inscribed properties with Chinese names, coordinates (first component point), transnational flag, and any outward link stated in UNESCO's own description.</t>
  </si>
  <si>
    <t xml:space="preserve">China Tentative List</t>
  </si>
  <si>
    <t xml:space="preserve">All 60 entries. Two put the maritime routes under the Silk Roads name (2008, 2016).</t>
  </si>
  <si>
    <t xml:space="preserve">Sites Abroad Linked to China</t>
  </si>
  <si>
    <t xml:space="preserve">Properties in other countries whose UNESCO text mentions China, Chinese people or the Silk Roads. Link type is my coding and should be reviewed.</t>
  </si>
  <si>
    <t xml:space="preserve">Other UNESCO Records</t>
  </si>
  <si>
    <t xml:space="preserve">Intangible heritage, Memory of the World, Silk Roads programme and centres relevant to the project.</t>
  </si>
  <si>
    <t xml:space="preserve">Docs - Silk Roads 1442</t>
  </si>
  <si>
    <t xml:space="preserve">Full document trail for the one transnational property China is part of.</t>
  </si>
  <si>
    <t xml:space="preserve">Data Access</t>
  </si>
  <si>
    <t xml:space="preserve">What each UNESCO source offers, how to get it, gaps and terms of use.</t>
  </si>
  <si>
    <t xml:space="preserve">Legend</t>
  </si>
  <si>
    <t xml:space="preserve">Yellow columns</t>
  </si>
  <si>
    <t xml:space="preserve">For you to fill in: notes and verification status.</t>
  </si>
  <si>
    <t xml:space="preserve">Coordinates</t>
  </si>
  <si>
    <t xml:space="preserve">First component point from UNESCO's feed; serial sites have several points (see 'Component points').</t>
  </si>
  <si>
    <t xml:space="preserve">Terms of use</t>
  </si>
  <si>
    <t xml:space="preserve">UNESCO: 'Any republication, online or in any other form, of any UNESCO/WHC data requires prior written authorization.' Required credit: Copyright © 1992-2026 UNESCO/World Heritage Centre. All rights reserved. Fine for internal research; ask UNESCO before publishing a map layer built on this data.</t>
  </si>
  <si>
    <t xml:space="preserve">Phase 1b (added 2026-09-30)</t>
  </si>
  <si>
    <t xml:space="preserve">Chinese sources surveyed</t>
  </si>
  <si>
    <t xml:space="preserve">Dated framing examples</t>
  </si>
  <si>
    <t xml:space="preserve">Chinese projects abroad (from sources read)</t>
  </si>
  <si>
    <t xml:space="preserve">1b Chinese Sources</t>
  </si>
  <si>
    <t xml:space="preserve">Inventory in the roadmap's 1e format: coverage, language, how systematic, access, historical versions, framing, reliability.</t>
  </si>
  <si>
    <t xml:space="preserve">1b Framing Examples</t>
  </si>
  <si>
    <t xml:space="preserve">Dated verbatim quotes from government, embassy, research and ICH sources, with English gloss. Seed data for the narrative layer and Phase 5.</t>
  </si>
  <si>
    <t xml:space="preserve">1b Chinese Projects Abroad</t>
  </si>
  <si>
    <t xml:space="preserve">Aid restoration and joint archaeology projects named in the sources read. Seed for the institutional-engagement layer.</t>
  </si>
  <si>
    <t xml:space="preserve">UNESCO ID</t>
  </si>
  <si>
    <t xml:space="preserve">Site name (EN)</t>
  </si>
  <si>
    <t xml:space="preserve">Site name (ZH, UNESCO feed)</t>
  </si>
  <si>
    <t xml:space="preserve">Category</t>
  </si>
  <si>
    <t xml:space="preserve">Criteria</t>
  </si>
  <si>
    <t xml:space="preserve">Year inscribed</t>
  </si>
  <si>
    <t xml:space="preserve">Extensions</t>
  </si>
  <si>
    <t xml:space="preserve">Transnational</t>
  </si>
  <si>
    <t xml:space="preserve">Other States Parties</t>
  </si>
  <si>
    <t xml:space="preserve">Component points</t>
  </si>
  <si>
    <t xml:space="preserve">Latitude</t>
  </si>
  <si>
    <t xml:space="preserve">Longitude</t>
  </si>
  <si>
    <t xml:space="preserve">Outward link in UNESCO text</t>
  </si>
  <si>
    <t xml:space="preserve">UNESCO wording (EN short description)</t>
  </si>
  <si>
    <t xml:space="preserve">Site page</t>
  </si>
  <si>
    <t xml:space="preserve">Documents page</t>
  </si>
  <si>
    <t xml:space="preserve">Your notes</t>
  </si>
  <si>
    <t xml:space="preserve">Verification status</t>
  </si>
  <si>
    <t xml:space="preserve">Mount Taishan</t>
  </si>
  <si>
    <t xml:space="preserve">泰山</t>
  </si>
  <si>
    <t xml:space="preserve">Mixed</t>
  </si>
  <si>
    <t xml:space="preserve">(i)(ii)(iii)(iv)(v)(vi)(vii)</t>
  </si>
  <si>
    <t xml:space="preserve">No</t>
  </si>
  <si>
    <t xml:space="preserve">https://whc.unesco.org/en/list/437/</t>
  </si>
  <si>
    <t xml:space="preserve">https://whc.unesco.org/en/list/437/documents/</t>
  </si>
  <si>
    <t xml:space="preserve">The Great Wall</t>
  </si>
  <si>
    <t xml:space="preserve">长城</t>
  </si>
  <si>
    <t xml:space="preserve">Cultural</t>
  </si>
  <si>
    <t xml:space="preserve">(i)(ii)(iii)(iv)(vi)</t>
  </si>
  <si>
    <t xml:space="preserve">https://whc.unesco.org/en/list/438/</t>
  </si>
  <si>
    <t xml:space="preserve">https://whc.unesco.org/en/list/438/documents/</t>
  </si>
  <si>
    <t xml:space="preserve">Imperial Palaces of the Ming and Qing Dynasties in Beijing and Shenyang</t>
  </si>
  <si>
    <t xml:space="preserve">明清故宫（北京故宫、沈阳故宫）</t>
  </si>
  <si>
    <t xml:space="preserve">(i)(ii)(iii)(iv)</t>
  </si>
  <si>
    <t xml:space="preserve">2004</t>
  </si>
  <si>
    <t xml:space="preserve">https://whc.unesco.org/en/list/439/</t>
  </si>
  <si>
    <t xml:space="preserve">https://whc.unesco.org/en/list/439/documents/</t>
  </si>
  <si>
    <t xml:space="preserve">Mogao Caves</t>
  </si>
  <si>
    <t xml:space="preserve">莫高窟</t>
  </si>
  <si>
    <t xml:space="preserve">(i)(ii)(iii)(iv)(v)(vi)</t>
  </si>
  <si>
    <t xml:space="preserve">Silk Roads</t>
  </si>
  <si>
    <t xml:space="preserve">Situated at a strategic point along the Silk Route, at the crossroads of trade as well as religious, cultural and intellectual influences...</t>
  </si>
  <si>
    <t xml:space="preserve">https://whc.unesco.org/en/list/440/</t>
  </si>
  <si>
    <t xml:space="preserve">https://whc.unesco.org/en/list/440/documents/</t>
  </si>
  <si>
    <t xml:space="preserve">Mausoleum of the First Qin Emperor</t>
  </si>
  <si>
    <t xml:space="preserve">秦始皇陵及兵马俑坑</t>
  </si>
  <si>
    <t xml:space="preserve">(i)(iii)(iv)(vi)</t>
  </si>
  <si>
    <t xml:space="preserve">https://whc.unesco.org/en/list/441/</t>
  </si>
  <si>
    <t xml:space="preserve">https://whc.unesco.org/en/list/441/documents/</t>
  </si>
  <si>
    <t xml:space="preserve">Peking Man Site at Zhoukoudian</t>
  </si>
  <si>
    <t xml:space="preserve">周口店北京人遗址</t>
  </si>
  <si>
    <t xml:space="preserve">(iii)(vi)</t>
  </si>
  <si>
    <t xml:space="preserve">https://whc.unesco.org/en/list/449/</t>
  </si>
  <si>
    <t xml:space="preserve">https://whc.unesco.org/en/list/449/documents/</t>
  </si>
  <si>
    <t xml:space="preserve">Mount Huangshan</t>
  </si>
  <si>
    <t xml:space="preserve">黄山</t>
  </si>
  <si>
    <t xml:space="preserve">(ii)(vii)(x)</t>
  </si>
  <si>
    <t xml:space="preserve">https://whc.unesco.org/en/list/547/</t>
  </si>
  <si>
    <t xml:space="preserve">https://whc.unesco.org/en/list/547/documents/</t>
  </si>
  <si>
    <t xml:space="preserve">Jiuzhaigou Valley Scenic and Historic Interest Area</t>
  </si>
  <si>
    <t xml:space="preserve">九寨沟风景名胜区</t>
  </si>
  <si>
    <t xml:space="preserve">Natural</t>
  </si>
  <si>
    <t xml:space="preserve">(vii)</t>
  </si>
  <si>
    <t xml:space="preserve">https://whc.unesco.org/en/list/637/</t>
  </si>
  <si>
    <t xml:space="preserve">https://whc.unesco.org/en/list/637/documents/</t>
  </si>
  <si>
    <t xml:space="preserve">Huanglong Scenic and Historic Interest Area</t>
  </si>
  <si>
    <t xml:space="preserve">黄龙风景名胜区</t>
  </si>
  <si>
    <t xml:space="preserve">https://whc.unesco.org/en/list/638/</t>
  </si>
  <si>
    <t xml:space="preserve">https://whc.unesco.org/en/list/638/documents/</t>
  </si>
  <si>
    <t xml:space="preserve">Wulingyuan Scenic and Historic Interest Area</t>
  </si>
  <si>
    <t xml:space="preserve">武陵源风景名胜区</t>
  </si>
  <si>
    <t xml:space="preserve">https://whc.unesco.org/en/list/640/</t>
  </si>
  <si>
    <t xml:space="preserve">https://whc.unesco.org/en/list/640/documents/</t>
  </si>
  <si>
    <t xml:space="preserve">Mountain Resort and its Outlying Temples, Chengde</t>
  </si>
  <si>
    <t xml:space="preserve">承德避暑山庄及其周围寺庙</t>
  </si>
  <si>
    <t xml:space="preserve">(ii)(iv)</t>
  </si>
  <si>
    <t xml:space="preserve">https://whc.unesco.org/en/list/703/</t>
  </si>
  <si>
    <t xml:space="preserve">https://whc.unesco.org/en/list/703/documents/</t>
  </si>
  <si>
    <t xml:space="preserve">Temple and Cemetery of Confucius and the Kong Family Mansion in Qufu</t>
  </si>
  <si>
    <t xml:space="preserve">曲阜孔庙、孔林和孔府</t>
  </si>
  <si>
    <t xml:space="preserve">(i)(iv)(vi)</t>
  </si>
  <si>
    <t xml:space="preserve">https://whc.unesco.org/en/list/704/</t>
  </si>
  <si>
    <t xml:space="preserve">https://whc.unesco.org/en/list/704/documents/</t>
  </si>
  <si>
    <t xml:space="preserve">Ancient Building Complex in the Wudang Mountains</t>
  </si>
  <si>
    <t xml:space="preserve">武当山古建筑群</t>
  </si>
  <si>
    <t xml:space="preserve">(i)(ii)(vi)</t>
  </si>
  <si>
    <t xml:space="preserve">https://whc.unesco.org/en/list/705/</t>
  </si>
  <si>
    <t xml:space="preserve">https://whc.unesco.org/en/list/705/documents/</t>
  </si>
  <si>
    <t xml:space="preserve">Historic Ensemble of the Potala Palace, Lhasa</t>
  </si>
  <si>
    <t xml:space="preserve">拉萨布达拉宫历史建筑群</t>
  </si>
  <si>
    <t xml:space="preserve">2000, 2001</t>
  </si>
  <si>
    <t xml:space="preserve">https://whc.unesco.org/en/list/707/</t>
  </si>
  <si>
    <t xml:space="preserve">https://whc.unesco.org/en/list/707/documents/</t>
  </si>
  <si>
    <t xml:space="preserve">Lushan National Park</t>
  </si>
  <si>
    <t xml:space="preserve">庐山国家公园</t>
  </si>
  <si>
    <t xml:space="preserve">(ii)(iii)(iv)(vi)</t>
  </si>
  <si>
    <t xml:space="preserve">https://whc.unesco.org/en/list/778/</t>
  </si>
  <si>
    <t xml:space="preserve">https://whc.unesco.org/en/list/778/documents/</t>
  </si>
  <si>
    <t xml:space="preserve">Mount Emei Scenic Area, including Leshan Giant Buddha Scenic Area</t>
  </si>
  <si>
    <t xml:space="preserve">峨眉山—乐山大佛</t>
  </si>
  <si>
    <t xml:space="preserve">(iv)(vi)(x)</t>
  </si>
  <si>
    <t xml:space="preserve">https://whc.unesco.org/en/list/779/</t>
  </si>
  <si>
    <t xml:space="preserve">https://whc.unesco.org/en/list/779/documents/</t>
  </si>
  <si>
    <t xml:space="preserve">Old Town of Lijiang</t>
  </si>
  <si>
    <t xml:space="preserve">丽江古城</t>
  </si>
  <si>
    <t xml:space="preserve">(ii)(iv)(v)</t>
  </si>
  <si>
    <t xml:space="preserve">https://whc.unesco.org/en/list/811/</t>
  </si>
  <si>
    <t xml:space="preserve">https://whc.unesco.org/en/list/811/documents/</t>
  </si>
  <si>
    <t xml:space="preserve">Ancient City of Ping Yao</t>
  </si>
  <si>
    <t xml:space="preserve">平遥古城</t>
  </si>
  <si>
    <t xml:space="preserve">(ii)(iii)(iv)</t>
  </si>
  <si>
    <t xml:space="preserve">https://whc.unesco.org/en/list/812/</t>
  </si>
  <si>
    <t xml:space="preserve">https://whc.unesco.org/en/list/812/documents/</t>
  </si>
  <si>
    <t xml:space="preserve">Classical Gardens of Suzhou</t>
  </si>
  <si>
    <t xml:space="preserve">苏州古典园林</t>
  </si>
  <si>
    <t xml:space="preserve">(i)(ii)(iii)(iv)(v)</t>
  </si>
  <si>
    <t xml:space="preserve">2000</t>
  </si>
  <si>
    <t xml:space="preserve">https://whc.unesco.org/en/list/813/</t>
  </si>
  <si>
    <t xml:space="preserve">https://whc.unesco.org/en/list/813/documents/</t>
  </si>
  <si>
    <t xml:space="preserve">Summer Palace, an Imperial Garden in Beijing</t>
  </si>
  <si>
    <r>
      <rPr>
        <sz val="10"/>
        <rFont val="Noto Sans CJK SC"/>
        <family val="2"/>
      </rPr>
      <t xml:space="preserve">北京皇家园林</t>
    </r>
    <r>
      <rPr>
        <sz val="10"/>
        <rFont val="Arial"/>
        <family val="0"/>
        <charset val="1"/>
      </rPr>
      <t xml:space="preserve">-</t>
    </r>
    <r>
      <rPr>
        <sz val="10"/>
        <rFont val="Noto Sans CJK SC"/>
        <family val="2"/>
      </rPr>
      <t xml:space="preserve">颐和园</t>
    </r>
  </si>
  <si>
    <t xml:space="preserve">(i)(ii)(iii)</t>
  </si>
  <si>
    <t xml:space="preserve">https://whc.unesco.org/en/list/880/</t>
  </si>
  <si>
    <t xml:space="preserve">https://whc.unesco.org/en/list/880/documents/</t>
  </si>
  <si>
    <t xml:space="preserve">Temple of Heaven: an Imperial Sacrificial Altar in Beijing</t>
  </si>
  <si>
    <t xml:space="preserve">北京皇家祭坛—天坛</t>
  </si>
  <si>
    <t xml:space="preserve">https://whc.unesco.org/en/list/881/</t>
  </si>
  <si>
    <t xml:space="preserve">https://whc.unesco.org/en/list/881/documents/</t>
  </si>
  <si>
    <t xml:space="preserve">Mount Wuyi</t>
  </si>
  <si>
    <t xml:space="preserve">武夷山</t>
  </si>
  <si>
    <t xml:space="preserve">(iii)(vi)(vii)(x)</t>
  </si>
  <si>
    <t xml:space="preserve">https://whc.unesco.org/en/list/911/</t>
  </si>
  <si>
    <t xml:space="preserve">https://whc.unesco.org/en/list/911/documents/</t>
  </si>
  <si>
    <t xml:space="preserve">Dazu Rock Carvings</t>
  </si>
  <si>
    <t xml:space="preserve">大足石刻</t>
  </si>
  <si>
    <t xml:space="preserve">https://whc.unesco.org/en/list/912/</t>
  </si>
  <si>
    <t xml:space="preserve">https://whc.unesco.org/en/list/912/documents/</t>
  </si>
  <si>
    <t xml:space="preserve">Mount Qingcheng and the Dujiangyan Irrigation System</t>
  </si>
  <si>
    <t xml:space="preserve">青城山—都江堰</t>
  </si>
  <si>
    <t xml:space="preserve">(ii)(iv)(vi)</t>
  </si>
  <si>
    <t xml:space="preserve">https://whc.unesco.org/en/list/1001/</t>
  </si>
  <si>
    <t xml:space="preserve">https://whc.unesco.org/en/list/1001/documents/</t>
  </si>
  <si>
    <t xml:space="preserve">Ancient Villages in Southern Anhui – Xidi and Hongcun</t>
  </si>
  <si>
    <r>
      <rPr>
        <sz val="10"/>
        <rFont val="Noto Sans CJK SC"/>
        <family val="2"/>
      </rPr>
      <t xml:space="preserve">皖南古村落－西递、宏村（</t>
    </r>
    <r>
      <rPr>
        <sz val="10"/>
        <rFont val="Arial"/>
        <family val="0"/>
        <charset val="1"/>
      </rPr>
      <t xml:space="preserve">2000</t>
    </r>
    <r>
      <rPr>
        <sz val="10"/>
        <rFont val="Noto Sans CJK SC"/>
        <family val="2"/>
      </rPr>
      <t xml:space="preserve">年）</t>
    </r>
  </si>
  <si>
    <t xml:space="preserve">(iii)(iv)(v)</t>
  </si>
  <si>
    <t xml:space="preserve">https://whc.unesco.org/en/list/1002/</t>
  </si>
  <si>
    <t xml:space="preserve">https://whc.unesco.org/en/list/1002/documents/</t>
  </si>
  <si>
    <t xml:space="preserve">Longmen Grottoes</t>
  </si>
  <si>
    <t xml:space="preserve">龙门石窟</t>
  </si>
  <si>
    <t xml:space="preserve">https://whc.unesco.org/en/list/1003/</t>
  </si>
  <si>
    <t xml:space="preserve">https://whc.unesco.org/en/list/1003/documents/</t>
  </si>
  <si>
    <t xml:space="preserve">Imperial Tombs of the Ming and Qing Dynasties</t>
  </si>
  <si>
    <t xml:space="preserve">明清皇家陵寝</t>
  </si>
  <si>
    <t xml:space="preserve">2003, 2004</t>
  </si>
  <si>
    <t xml:space="preserve">https://whc.unesco.org/en/list/1004/</t>
  </si>
  <si>
    <t xml:space="preserve">https://whc.unesco.org/en/list/1004/documents/</t>
  </si>
  <si>
    <t xml:space="preserve">Yungang Grottoes</t>
  </si>
  <si>
    <t xml:space="preserve">云岗石窟</t>
  </si>
  <si>
    <t xml:space="preserve">https://whc.unesco.org/en/list/1039/</t>
  </si>
  <si>
    <t xml:space="preserve">https://whc.unesco.org/en/list/1039/documents/</t>
  </si>
  <si>
    <t xml:space="preserve">Three Parallel Rivers of Yunnan Protected Areas</t>
  </si>
  <si>
    <t xml:space="preserve">云南三江并流保护区</t>
  </si>
  <si>
    <t xml:space="preserve">(vii)(viii)(ix)(x)</t>
  </si>
  <si>
    <t xml:space="preserve">https://whc.unesco.org/en/list/1083/</t>
  </si>
  <si>
    <t xml:space="preserve">https://whc.unesco.org/en/list/1083/documents/</t>
  </si>
  <si>
    <t xml:space="preserve">Capital Cities and Tombs of the Ancient Koguryo Kingdom</t>
  </si>
  <si>
    <t xml:space="preserve">高句丽王城、王陵及贵族墓葬</t>
  </si>
  <si>
    <t xml:space="preserve">https://whc.unesco.org/en/list/1135/</t>
  </si>
  <si>
    <t xml:space="preserve">https://whc.unesco.org/en/list/1135/documents/</t>
  </si>
  <si>
    <t xml:space="preserve">Historic Centre of Macao</t>
  </si>
  <si>
    <t xml:space="preserve">澳门历史城区</t>
  </si>
  <si>
    <t xml:space="preserve">International trade / East-West encounter</t>
  </si>
  <si>
    <t xml:space="preserve">It bears witness to one of the earliest and longest-lasting encounters between China and the West, based on the vibrancy of international trade.</t>
  </si>
  <si>
    <t xml:space="preserve">https://whc.unesco.org/en/list/1110/</t>
  </si>
  <si>
    <t xml:space="preserve">https://whc.unesco.org/en/list/1110/documents/</t>
  </si>
  <si>
    <t xml:space="preserve">Yin Xu</t>
  </si>
  <si>
    <t xml:space="preserve">殷墟</t>
  </si>
  <si>
    <t xml:space="preserve">https://whc.unesco.org/en/list/1114/</t>
  </si>
  <si>
    <t xml:space="preserve">https://whc.unesco.org/en/list/1114/documents/</t>
  </si>
  <si>
    <t xml:space="preserve">Sichuan Giant Panda Sanctuaries - Wolong, Mt Siguniang and Jiajin Mountains</t>
  </si>
  <si>
    <t xml:space="preserve">四川大熊猫栖息地</t>
  </si>
  <si>
    <t xml:space="preserve">(x)</t>
  </si>
  <si>
    <t xml:space="preserve">https://whc.unesco.org/en/list/1213/</t>
  </si>
  <si>
    <t xml:space="preserve">https://whc.unesco.org/en/list/1213/documents/</t>
  </si>
  <si>
    <t xml:space="preserve">Kaiping Diaolou and Villages</t>
  </si>
  <si>
    <t xml:space="preserve">开平碉楼与村落</t>
  </si>
  <si>
    <t xml:space="preserve">Overseas Chinese / emigration</t>
  </si>
  <si>
    <t xml:space="preserve">They reflect the significant role of émigré Kaiping people in the development of several countries in South Asia, Australasia and North America, during the late 19th and early 20th centuries.</t>
  </si>
  <si>
    <t xml:space="preserve">https://whc.unesco.org/en/list/1112/</t>
  </si>
  <si>
    <t xml:space="preserve">https://whc.unesco.org/en/list/1112/documents/</t>
  </si>
  <si>
    <t xml:space="preserve">South China Karst</t>
  </si>
  <si>
    <t xml:space="preserve">中国南方喀斯特</t>
  </si>
  <si>
    <t xml:space="preserve">(vii)(viii)</t>
  </si>
  <si>
    <t xml:space="preserve">2014</t>
  </si>
  <si>
    <t xml:space="preserve">https://whc.unesco.org/en/list/1248/</t>
  </si>
  <si>
    <t xml:space="preserve">https://whc.unesco.org/en/list/1248/documents/</t>
  </si>
  <si>
    <t xml:space="preserve">Fujian Tulou</t>
  </si>
  <si>
    <t xml:space="preserve">福建土楼</t>
  </si>
  <si>
    <t xml:space="preserve">https://whc.unesco.org/en/list/1113/</t>
  </si>
  <si>
    <t xml:space="preserve">https://whc.unesco.org/en/list/1113/documents/</t>
  </si>
  <si>
    <t xml:space="preserve">Mount Sanqingshan National Park</t>
  </si>
  <si>
    <t xml:space="preserve">三清山国家公园</t>
  </si>
  <si>
    <t xml:space="preserve">https://whc.unesco.org/en/list/1292/</t>
  </si>
  <si>
    <t xml:space="preserve">https://whc.unesco.org/en/list/1292/documents/</t>
  </si>
  <si>
    <t xml:space="preserve">Mount Wutai</t>
  </si>
  <si>
    <t xml:space="preserve">五台山</t>
  </si>
  <si>
    <t xml:space="preserve">https://whc.unesco.org/en/list/1279/</t>
  </si>
  <si>
    <t xml:space="preserve">https://whc.unesco.org/en/list/1279/documents/</t>
  </si>
  <si>
    <t xml:space="preserve">Historic Monuments of Dengfeng in “The Centre of Heaven and Earth”</t>
  </si>
  <si>
    <t xml:space="preserve">登封 “天地之中”历史古迹</t>
  </si>
  <si>
    <t xml:space="preserve">https://whc.unesco.org/en/list/1305/</t>
  </si>
  <si>
    <t xml:space="preserve">https://whc.unesco.org/en/list/1305/documents/</t>
  </si>
  <si>
    <t xml:space="preserve">China Danxia</t>
  </si>
  <si>
    <t xml:space="preserve">中国丹霞</t>
  </si>
  <si>
    <t xml:space="preserve">https://whc.unesco.org/en/list/1335/</t>
  </si>
  <si>
    <t xml:space="preserve">https://whc.unesco.org/en/list/1335/documents/</t>
  </si>
  <si>
    <t xml:space="preserve">West Lake Cultural Landscape of Hangzhou</t>
  </si>
  <si>
    <t xml:space="preserve">杭州西湖文化景观</t>
  </si>
  <si>
    <t xml:space="preserve">(ii)(iii)(vi)</t>
  </si>
  <si>
    <t xml:space="preserve">https://whc.unesco.org/en/list/1334/</t>
  </si>
  <si>
    <t xml:space="preserve">https://whc.unesco.org/en/list/1334/documents/</t>
  </si>
  <si>
    <t xml:space="preserve">Chengjiang Fossil Site</t>
  </si>
  <si>
    <t xml:space="preserve">澄江化石遗址</t>
  </si>
  <si>
    <t xml:space="preserve">(viii)</t>
  </si>
  <si>
    <t xml:space="preserve">https://whc.unesco.org/en/list/1388/</t>
  </si>
  <si>
    <t xml:space="preserve">https://whc.unesco.org/en/list/1388/documents/</t>
  </si>
  <si>
    <t xml:space="preserve">Site of Xanadu</t>
  </si>
  <si>
    <t xml:space="preserve">元上都遗址</t>
  </si>
  <si>
    <t xml:space="preserve">Cross-cultural (Mongol-Han)</t>
  </si>
  <si>
    <t xml:space="preserve">...the site was a unique attempt to assimilate the nomadic Mongolian and Han Chinese cultures.</t>
  </si>
  <si>
    <t xml:space="preserve">https://whc.unesco.org/en/list/1389/</t>
  </si>
  <si>
    <t xml:space="preserve">https://whc.unesco.org/en/list/1389/documents/</t>
  </si>
  <si>
    <t xml:space="preserve">Cultural Landscape of Honghe Hani Rice Terraces</t>
  </si>
  <si>
    <t xml:space="preserve">(iii)(v)</t>
  </si>
  <si>
    <t xml:space="preserve">https://whc.unesco.org/en/list/1111/</t>
  </si>
  <si>
    <t xml:space="preserve">https://whc.unesco.org/en/list/1111/documents/</t>
  </si>
  <si>
    <t xml:space="preserve">Xinjiang Tianshan</t>
  </si>
  <si>
    <t xml:space="preserve">(vii)(ix)</t>
  </si>
  <si>
    <t xml:space="preserve">https://whc.unesco.org/en/list/1414/</t>
  </si>
  <si>
    <t xml:space="preserve">https://whc.unesco.org/en/list/1414/documents/</t>
  </si>
  <si>
    <t xml:space="preserve">Silk Roads: the Routes Network of Chang'an-Tianshan Corridor</t>
  </si>
  <si>
    <t xml:space="preserve">(ii)(iii)(v)(vi)</t>
  </si>
  <si>
    <t xml:space="preserve">Yes</t>
  </si>
  <si>
    <t xml:space="preserve">Kazakhstan, Kyrgyzstan</t>
  </si>
  <si>
    <t xml:space="preserve">This property is a 5,000 km section of the extensive Silk Roads network, stretching from Chang'an/Luoyang, the central capital of China in the Han and Tang dynasties, to the Zhetysu region of Central Asia.</t>
  </si>
  <si>
    <t xml:space="preserve">https://whc.unesco.org/en/list/1442/</t>
  </si>
  <si>
    <t xml:space="preserve">https://whc.unesco.org/en/list/1442/documents/</t>
  </si>
  <si>
    <t xml:space="preserve">The Grand Canal</t>
  </si>
  <si>
    <t xml:space="preserve">https://whc.unesco.org/en/list/1443/</t>
  </si>
  <si>
    <t xml:space="preserve">https://whc.unesco.org/en/list/1443/documents/</t>
  </si>
  <si>
    <t xml:space="preserve">Tusi Sites</t>
  </si>
  <si>
    <t xml:space="preserve">土司遗址</t>
  </si>
  <si>
    <t xml:space="preserve">(ii)(iii)</t>
  </si>
  <si>
    <t xml:space="preserve">https://whc.unesco.org/en/list/1474/</t>
  </si>
  <si>
    <t xml:space="preserve">https://whc.unesco.org/en/list/1474/documents/</t>
  </si>
  <si>
    <t xml:space="preserve">Zuojiang Huashan Rock Art Cultural Landscape</t>
  </si>
  <si>
    <t xml:space="preserve">左江花山岩画文化景观</t>
  </si>
  <si>
    <t xml:space="preserve">https://whc.unesco.org/en/list/1508/</t>
  </si>
  <si>
    <t xml:space="preserve">https://whc.unesco.org/en/list/1508/documents/</t>
  </si>
  <si>
    <t xml:space="preserve">Hubei Shennongjia</t>
  </si>
  <si>
    <t xml:space="preserve">湖北神农架</t>
  </si>
  <si>
    <t xml:space="preserve">(ix)(x)</t>
  </si>
  <si>
    <t xml:space="preserve">https://whc.unesco.org/en/list/1509/</t>
  </si>
  <si>
    <t xml:space="preserve">https://whc.unesco.org/en/list/1509/documents/</t>
  </si>
  <si>
    <t xml:space="preserve">Qinghai Hoh Xil</t>
  </si>
  <si>
    <t xml:space="preserve">(vii)(x)</t>
  </si>
  <si>
    <t xml:space="preserve">https://whc.unesco.org/en/list/1540/</t>
  </si>
  <si>
    <t xml:space="preserve">https://whc.unesco.org/en/list/1540/documents/</t>
  </si>
  <si>
    <t xml:space="preserve">Kulangsu, a Historic International Settlement</t>
  </si>
  <si>
    <t xml:space="preserve">Sino-foreign exchange</t>
  </si>
  <si>
    <t xml:space="preserve">...this island off the southern coast of the Chinese empire suddenly became an important window for Sino-foreign exchanges.</t>
  </si>
  <si>
    <t xml:space="preserve">https://whc.unesco.org/en/list/1541/</t>
  </si>
  <si>
    <t xml:space="preserve">https://whc.unesco.org/en/list/1541/documents/</t>
  </si>
  <si>
    <t xml:space="preserve">Fanjingshan</t>
  </si>
  <si>
    <t xml:space="preserve">梵净山</t>
  </si>
  <si>
    <t xml:space="preserve">https://whc.unesco.org/en/list/1559/</t>
  </si>
  <si>
    <t xml:space="preserve">https://whc.unesco.org/en/list/1559/documents/</t>
  </si>
  <si>
    <t xml:space="preserve">Archaeological Ruins of Liangzhu City</t>
  </si>
  <si>
    <t xml:space="preserve">良渚古城遗址</t>
  </si>
  <si>
    <t xml:space="preserve">(iii)(iv)</t>
  </si>
  <si>
    <t xml:space="preserve">https://whc.unesco.org/en/list/1592/</t>
  </si>
  <si>
    <t xml:space="preserve">https://whc.unesco.org/en/list/1592/documents/</t>
  </si>
  <si>
    <t xml:space="preserve">Migratory Bird Sanctuaries along the Coast of Yellow Sea-Bohai Gulf of China</t>
  </si>
  <si>
    <t xml:space="preserve">中国黄（渤）海候鸟栖息地</t>
  </si>
  <si>
    <t xml:space="preserve">2024</t>
  </si>
  <si>
    <t xml:space="preserve">https://whc.unesco.org/en/list/1606/</t>
  </si>
  <si>
    <t xml:space="preserve">https://whc.unesco.org/en/list/1606/documents/</t>
  </si>
  <si>
    <t xml:space="preserve">Quanzhou: Emporium of the World in Song-Yuan China</t>
  </si>
  <si>
    <t xml:space="preserve">泉州：宋元中国的世界海洋商贸中心</t>
  </si>
  <si>
    <t xml:space="preserve">(iv)</t>
  </si>
  <si>
    <t xml:space="preserve">Maritime trade</t>
  </si>
  <si>
    <t xml:space="preserve">The serial site of Quanzhou illustrates the city's vibrancy as a maritime emporium during the Song and Yuan periods (10th - 14th centuries AD) and its interconnection with the Chinese hinterland.</t>
  </si>
  <si>
    <t xml:space="preserve">https://whc.unesco.org/en/list/1561/</t>
  </si>
  <si>
    <t xml:space="preserve">https://whc.unesco.org/en/list/1561/documents/</t>
  </si>
  <si>
    <t xml:space="preserve">Cultural Landscape of Old Tea Forests of the Jingmai Mountain in Pu’er</t>
  </si>
  <si>
    <t xml:space="preserve">普洱景迈山古茶林文化景观</t>
  </si>
  <si>
    <t xml:space="preserve">https://whc.unesco.org/en/list/1665/</t>
  </si>
  <si>
    <t xml:space="preserve">https://whc.unesco.org/en/list/1665/documents/</t>
  </si>
  <si>
    <t xml:space="preserve">Badain Jaran Desert - Towers of Sand and Lakes</t>
  </si>
  <si>
    <t xml:space="preserve">巴丹吉林沙漠——沙山湖泊群</t>
  </si>
  <si>
    <t xml:space="preserve">https://whc.unesco.org/en/list/1638/</t>
  </si>
  <si>
    <t xml:space="preserve">https://whc.unesco.org/en/list/1638/documents/</t>
  </si>
  <si>
    <t xml:space="preserve">Beijing Central Axis: A Building Ensemble Exhibiting the Ideal Order of the Chinese Capital</t>
  </si>
  <si>
    <t xml:space="preserve">北京中轴线：中国理想都城秩序的杰作</t>
  </si>
  <si>
    <t xml:space="preserve">https://whc.unesco.org/en/list/1714/</t>
  </si>
  <si>
    <t xml:space="preserve">https://whc.unesco.org/en/list/1714/documents/</t>
  </si>
  <si>
    <t xml:space="preserve">Xixia Imperial Tombs</t>
  </si>
  <si>
    <t xml:space="preserve">西夏陵</t>
  </si>
  <si>
    <t xml:space="preserve">Positioned along the Silk Road, it became a multicultural civilization modelled on Chinese imperial traditions, with Buddhism at its core.</t>
  </si>
  <si>
    <t xml:space="preserve">https://whc.unesco.org/en/list/1736/</t>
  </si>
  <si>
    <t xml:space="preserve">https://whc.unesco.org/en/list/1736/documents/</t>
  </si>
  <si>
    <t xml:space="preserve">Jingdezhen Handicraft Porcelain Industry Sites</t>
  </si>
  <si>
    <t xml:space="preserve">景德镇手工瓷业遗存</t>
  </si>
  <si>
    <t xml:space="preserve">Global trade (porcelain)</t>
  </si>
  <si>
    <t xml:space="preserve">...the production of handicraft porcelain from the 10th to 19th centuries that had profound industrial, artistic and trading influences in China and beyond globally.</t>
  </si>
  <si>
    <t xml:space="preserve">https://whc.unesco.org/en/list/1765/</t>
  </si>
  <si>
    <t xml:space="preserve">https://whc.unesco.org/en/list/1765/documents/</t>
  </si>
  <si>
    <t xml:space="preserve">UNESCO TL ID</t>
  </si>
  <si>
    <t xml:space="preserve">Name (as submitted)</t>
  </si>
  <si>
    <t xml:space="preserve">Year submitted</t>
  </si>
  <si>
    <t xml:space="preserve">Silk Road / maritime link</t>
  </si>
  <si>
    <t xml:space="preserve">Notes</t>
  </si>
  <si>
    <t xml:space="preserve">UNESCO page</t>
  </si>
  <si>
    <t xml:space="preserve">Dongzhai Port Nature Reserve</t>
  </si>
  <si>
    <t xml:space="preserve">https://whc.unesco.org/en/tentativelists/105/</t>
  </si>
  <si>
    <t xml:space="preserve">The Alligator Sinensis Nature Reserve</t>
  </si>
  <si>
    <t xml:space="preserve">https://whc.unesco.org/en/tentativelists/106/</t>
  </si>
  <si>
    <t xml:space="preserve">Poyang Nature Reserve</t>
  </si>
  <si>
    <t xml:space="preserve">https://whc.unesco.org/en/tentativelists/107/</t>
  </si>
  <si>
    <t xml:space="preserve">The Lijiang River Scenic Zone at Guilin</t>
  </si>
  <si>
    <t xml:space="preserve">https://whc.unesco.org/en/tentativelists/108/</t>
  </si>
  <si>
    <t xml:space="preserve">Yalong, Tibet</t>
  </si>
  <si>
    <t xml:space="preserve">https://whc.unesco.org/en/tentativelists/1622/</t>
  </si>
  <si>
    <t xml:space="preserve">Yangtze Gorges Scenic Spot</t>
  </si>
  <si>
    <t xml:space="preserve">https://whc.unesco.org/en/tentativelists/1623/</t>
  </si>
  <si>
    <t xml:space="preserve">Jinfushan Scenic Spot</t>
  </si>
  <si>
    <t xml:space="preserve">https://whc.unesco.org/en/tentativelists/1624/</t>
  </si>
  <si>
    <t xml:space="preserve">Heaven Pit and Ground Seam Scenic Spot</t>
  </si>
  <si>
    <t xml:space="preserve">https://whc.unesco.org/en/tentativelists/1625/</t>
  </si>
  <si>
    <t xml:space="preserve">Hua Shan Scenic Area</t>
  </si>
  <si>
    <t xml:space="preserve">https://whc.unesco.org/en/tentativelists/1626/</t>
  </si>
  <si>
    <t xml:space="preserve">Yandang Mountain</t>
  </si>
  <si>
    <t xml:space="preserve">https://whc.unesco.org/en/tentativelists/1627/</t>
  </si>
  <si>
    <t xml:space="preserve">Nanxi River</t>
  </si>
  <si>
    <t xml:space="preserve">https://whc.unesco.org/en/tentativelists/1629/</t>
  </si>
  <si>
    <t xml:space="preserve">Maijishan Scenic Spots</t>
  </si>
  <si>
    <t xml:space="preserve">https://whc.unesco.org/en/tentativelists/1631/</t>
  </si>
  <si>
    <t xml:space="preserve">Wudalianchi Scenic Spots</t>
  </si>
  <si>
    <t xml:space="preserve">https://whc.unesco.org/en/tentativelists/1632/</t>
  </si>
  <si>
    <t xml:space="preserve">Haitan Scenic Spots</t>
  </si>
  <si>
    <t xml:space="preserve">https://whc.unesco.org/en/tentativelists/1633/</t>
  </si>
  <si>
    <t xml:space="preserve">Dali Chanshan Mountain and Erhai Lake Scenic Spot</t>
  </si>
  <si>
    <t xml:space="preserve">https://whc.unesco.org/en/tentativelists/1634/</t>
  </si>
  <si>
    <t xml:space="preserve">Sites for Liquor Making in China</t>
  </si>
  <si>
    <t xml:space="preserve">https://whc.unesco.org/en/tentativelists/5320/</t>
  </si>
  <si>
    <t xml:space="preserve">Ancient Residences in Shanxi and Shaanxi Provinces</t>
  </si>
  <si>
    <t xml:space="preserve">https://whc.unesco.org/en/tentativelists/5322/</t>
  </si>
  <si>
    <t xml:space="preserve">City Walls of the Ming and Qing Dynasties</t>
  </si>
  <si>
    <t xml:space="preserve">https://whc.unesco.org/en/tentativelists/5324/</t>
  </si>
  <si>
    <t xml:space="preserve">Slender West Lake and Historic Urban Area in Yangzhou</t>
  </si>
  <si>
    <t xml:space="preserve">https://whc.unesco.org/en/tentativelists/5327/</t>
  </si>
  <si>
    <t xml:space="preserve">The Ancient Waterfront Towns in the South of Yangtze River</t>
  </si>
  <si>
    <t xml:space="preserve">https://whc.unesco.org/en/tentativelists/5328/</t>
  </si>
  <si>
    <t xml:space="preserve">Chinese Section of the Silk Road: Land routes in Henan Province, Shaanxi Province, Gansu Province, Qinghai Province, Ningxia Hui Autonomous Region, and Xinjiang Uygur Autonomous Region; Sea Routes in Ningbo City, Zhejiang Province and Quanzhou City, Fujian Province - from Western-Han Dynasty to Qing Dynasty</t>
  </si>
  <si>
    <t xml:space="preserve">Silk Roads + Maritime</t>
  </si>
  <si>
    <t xml:space="preserve">2008 entry: land routes in six provinces plus sea routes at Ningbo and Quanzhou. Earliest TL entry to put the sea routes under the Silk Road name.</t>
  </si>
  <si>
    <t xml:space="preserve">https://whc.unesco.org/en/tentativelists/5335/</t>
  </si>
  <si>
    <t xml:space="preserve">Fenghuang Ancient City</t>
  </si>
  <si>
    <t xml:space="preserve">https://whc.unesco.org/en/tentativelists/5337/</t>
  </si>
  <si>
    <t xml:space="preserve">Site of Southern Yue State</t>
  </si>
  <si>
    <t xml:space="preserve">https://whc.unesco.org/en/tentativelists/5338/</t>
  </si>
  <si>
    <t xml:space="preserve">Baiheliang Ancient Hydrological Inscription</t>
  </si>
  <si>
    <t xml:space="preserve">https://whc.unesco.org/en/tentativelists/5341/</t>
  </si>
  <si>
    <t xml:space="preserve">Miao Nationality Villages in Southeast Guizhou Province: The villages of Miao Nationality at the Foot of Leigong Mountain in Miao Ling Mountains</t>
  </si>
  <si>
    <t xml:space="preserve">https://whc.unesco.org/en/tentativelists/5344/</t>
  </si>
  <si>
    <t xml:space="preserve">Karez Wells</t>
  </si>
  <si>
    <t xml:space="preserve">https://whc.unesco.org/en/tentativelists/5347/</t>
  </si>
  <si>
    <t xml:space="preserve">Expansion Project of Imperial Tombs of the Ming and Qing Dynasties: King Lujian's Tombs</t>
  </si>
  <si>
    <t xml:space="preserve">https://whc.unesco.org/en/tentativelists/5351/</t>
  </si>
  <si>
    <t xml:space="preserve">The Four Sacred Mountains as an Extension of Mt. Taishan</t>
  </si>
  <si>
    <t xml:space="preserve">https://whc.unesco.org/en/tentativelists/5353/</t>
  </si>
  <si>
    <t xml:space="preserve">Taklimakan Desert—Populus euphratica Forests</t>
  </si>
  <si>
    <t xml:space="preserve">https://whc.unesco.org/en/tentativelists/5532/</t>
  </si>
  <si>
    <t xml:space="preserve">China Altay</t>
  </si>
  <si>
    <t xml:space="preserve">https://whc.unesco.org/en/tentativelists/5533/</t>
  </si>
  <si>
    <t xml:space="preserve">Karakorum-Pamir</t>
  </si>
  <si>
    <t xml:space="preserve">https://whc.unesco.org/en/tentativelists/5535/</t>
  </si>
  <si>
    <t xml:space="preserve">Wooden Structures of Liao Dynasty—Wooden Pagoda of Yingxian County, Main Hall of Fengguo Monastery of Yixian County</t>
  </si>
  <si>
    <t xml:space="preserve">https://whc.unesco.org/en/tentativelists/5803/</t>
  </si>
  <si>
    <t xml:space="preserve">Sites of Hongshan Culture: The Niuheliang Archaeological Site, the Hongshanhou Archaeological Site, and Weijiawopu Archaeological Site</t>
  </si>
  <si>
    <t xml:space="preserve">https://whc.unesco.org/en/tentativelists/5804/</t>
  </si>
  <si>
    <t xml:space="preserve">Ancient Porcelain Kiln Site in China</t>
  </si>
  <si>
    <t xml:space="preserve">https://whc.unesco.org/en/tentativelists/5806/</t>
  </si>
  <si>
    <t xml:space="preserve">SanFangQiXiang</t>
  </si>
  <si>
    <t xml:space="preserve">https://whc.unesco.org/en/tentativelists/5808/</t>
  </si>
  <si>
    <t xml:space="preserve">Dong Villages</t>
  </si>
  <si>
    <t xml:space="preserve">https://whc.unesco.org/en/tentativelists/5813/</t>
  </si>
  <si>
    <t xml:space="preserve">Lingqu Canal</t>
  </si>
  <si>
    <t xml:space="preserve">https://whc.unesco.org/en/tentativelists/5814/</t>
  </si>
  <si>
    <t xml:space="preserve">Diaolou Buildings and Villages for Tibetan and Qiang Ethnic Groups</t>
  </si>
  <si>
    <t xml:space="preserve">https://whc.unesco.org/en/tentativelists/5815/</t>
  </si>
  <si>
    <t xml:space="preserve">Archaeological Sites of the Ancient Shu State: Site at Jinsha and Joint Tombs of Boat-shaped Coffins in Chengdu City, Sichuan Province; Site of Sanxingdui in Guanghan City, Sichuan Province 29C.BC-5C.BC</t>
  </si>
  <si>
    <t xml:space="preserve">https://whc.unesco.org/en/tentativelists/5816/</t>
  </si>
  <si>
    <t xml:space="preserve">Xinjiang Yardang</t>
  </si>
  <si>
    <t xml:space="preserve">https://whc.unesco.org/en/tentativelists/5989/</t>
  </si>
  <si>
    <t xml:space="preserve">Dunhuang Yardangs</t>
  </si>
  <si>
    <t xml:space="preserve">https://whc.unesco.org/en/tentativelists/5990/</t>
  </si>
  <si>
    <t xml:space="preserve">Tianzhushan</t>
  </si>
  <si>
    <t xml:space="preserve">https://whc.unesco.org/en/tentativelists/5992/</t>
  </si>
  <si>
    <t xml:space="preserve">Jinggangshan--North Wuyishan (Extension of Mount Wuyi)</t>
  </si>
  <si>
    <t xml:space="preserve">https://whc.unesco.org/en/tentativelists/5993/</t>
  </si>
  <si>
    <t xml:space="preserve">ShuDao</t>
  </si>
  <si>
    <t xml:space="preserve">https://whc.unesco.org/en/tentativelists/5994/</t>
  </si>
  <si>
    <t xml:space="preserve">Tulin-Guge Scenic and Historic Interest Areas</t>
  </si>
  <si>
    <t xml:space="preserve">https://whc.unesco.org/en/tentativelists/5995/</t>
  </si>
  <si>
    <t xml:space="preserve">The Chinese Section of the Silk Roads</t>
  </si>
  <si>
    <t xml:space="preserve">Submitted 22/02/2016 by China's National Commission for UNESCO; criteria (i)-(vi). Serial, China only: 32 land-route sites (6 provinces) + 31 sea-route sites (Fujian, Zhejiang, Guangdong, Jiangsu). No partner countries named. Describes routes 'connecting Asia. Africa and Europe'.</t>
  </si>
  <si>
    <t xml:space="preserve">https://whc.unesco.org/en/tentativelists/6093/</t>
  </si>
  <si>
    <t xml:space="preserve">Guancen Mountain -- Luya Mountain</t>
  </si>
  <si>
    <t xml:space="preserve">https://whc.unesco.org/en/tentativelists/6184/</t>
  </si>
  <si>
    <t xml:space="preserve">Hulun Buir Landscape &amp; Birthplace of Ancient Minority</t>
  </si>
  <si>
    <t xml:space="preserve">https://whc.unesco.org/en/tentativelists/6185/</t>
  </si>
  <si>
    <t xml:space="preserve">Qinghai Lake</t>
  </si>
  <si>
    <t xml:space="preserve">https://whc.unesco.org/en/tentativelists/6186/</t>
  </si>
  <si>
    <t xml:space="preserve">Scenic and historic area of Sacred Mountains and Lakes</t>
  </si>
  <si>
    <t xml:space="preserve">https://whc.unesco.org/en/tentativelists/6187/</t>
  </si>
  <si>
    <t xml:space="preserve">Taihang Mountain</t>
  </si>
  <si>
    <t xml:space="preserve">https://whc.unesco.org/en/tentativelists/6188/</t>
  </si>
  <si>
    <t xml:space="preserve">Vertical Vegetation Landscape and Volcanic Landscape in Changbai Mountain</t>
  </si>
  <si>
    <t xml:space="preserve">https://whc.unesco.org/en/tentativelists/6190/</t>
  </si>
  <si>
    <t xml:space="preserve">Huangguoshu Scenic Area</t>
  </si>
  <si>
    <t xml:space="preserve">https://whc.unesco.org/en/tentativelists/6380/</t>
  </si>
  <si>
    <t xml:space="preserve">Guizhou Triassic Fossil Sites</t>
  </si>
  <si>
    <t xml:space="preserve">https://whc.unesco.org/en/tentativelists/6381/</t>
  </si>
  <si>
    <t xml:space="preserve">Hainan Tropical Rainforest and the Traditional Settlement of Li Ethnic Group</t>
  </si>
  <si>
    <t xml:space="preserve">https://whc.unesco.org/en/tentativelists/6582/</t>
  </si>
  <si>
    <t xml:space="preserve">Fujian Minjiang River Estuary: The ecotone between marine and terrestrial biogeographical regions</t>
  </si>
  <si>
    <t xml:space="preserve">https://whc.unesco.org/en/tentativelists/6619/</t>
  </si>
  <si>
    <t xml:space="preserve">Hezheng Mammalian Fossil Sites of Gansu</t>
  </si>
  <si>
    <t xml:space="preserve">https://whc.unesco.org/en/tentativelists/6768/</t>
  </si>
  <si>
    <t xml:space="preserve">Guizhou Shuanghe Cave</t>
  </si>
  <si>
    <t xml:space="preserve">https://whc.unesco.org/en/tentativelists/6840/</t>
  </si>
  <si>
    <t xml:space="preserve">Zhangye Colorful Hills</t>
  </si>
  <si>
    <t xml:space="preserve">https://whc.unesco.org/en/tentativelists/6841/</t>
  </si>
  <si>
    <t xml:space="preserve">Jehol Biota Fossil Sites in Chaoyang</t>
  </si>
  <si>
    <t xml:space="preserve">https://whc.unesco.org/en/tentativelists/7021/</t>
  </si>
  <si>
    <t xml:space="preserve">States Parties</t>
  </si>
  <si>
    <t xml:space="preserve">Where UNESCO mentions it</t>
  </si>
  <si>
    <t xml:space="preserve">Link type (my coding)</t>
  </si>
  <si>
    <t xml:space="preserve">UNESCO wording (verbatim excerpt)</t>
  </si>
  <si>
    <t xml:space="preserve">Melaka and George Town, Historic Cities of the Straits of Malacca</t>
  </si>
  <si>
    <t xml:space="preserve">Malaysia</t>
  </si>
  <si>
    <t xml:space="preserve">Full OUV statement on site page only (not in feed text)</t>
  </si>
  <si>
    <t xml:space="preserve">Chinese community / trade</t>
  </si>
  <si>
    <t xml:space="preserve">Criterion (ii): Melaka and George Town represent exceptional examples of multi-cultural trading towns in East and Southeast Asia, forged from the mercantile and exchanges of Malay, Chinese, and Indian cultures and three successive European colonial powers for almost 500 years...</t>
  </si>
  <si>
    <t xml:space="preserve">https://whc.unesco.org/en/list/1223/</t>
  </si>
  <si>
    <t xml:space="preserve">Hoi An Ancient Town</t>
  </si>
  <si>
    <t xml:space="preserve">会安古镇</t>
  </si>
  <si>
    <t xml:space="preserve">Viet Nam</t>
  </si>
  <si>
    <t xml:space="preserve">The town reflects a fusion of indigenous and foreign cultures (principally Chinese and Japanese with later European influences) that combined to produce this unique survival.</t>
  </si>
  <si>
    <t xml:space="preserve">https://whc.unesco.org/en/list/948/</t>
  </si>
  <si>
    <t xml:space="preserve">Ombilin Coal Mining Heritage of Sawahlunto</t>
  </si>
  <si>
    <t xml:space="preserve">沙哇伦多的翁比林煤矿遗产</t>
  </si>
  <si>
    <t xml:space="preserve">Indonesia</t>
  </si>
  <si>
    <t xml:space="preserve">Short description (feed)</t>
  </si>
  <si>
    <t xml:space="preserve">Chinese labour / migration</t>
  </si>
  <si>
    <t xml:space="preserve">The workforce was recruited from the local Minangkabau people and supplemented by Javanese and Chinese contract workers, and convict labourers from Dutch-controlled areas.</t>
  </si>
  <si>
    <t xml:space="preserve">https://whc.unesco.org/en/list/1610/</t>
  </si>
  <si>
    <t xml:space="preserve">Historic City of Vigan</t>
  </si>
  <si>
    <t xml:space="preserve">维甘历史古城</t>
  </si>
  <si>
    <t xml:space="preserve">Philippines</t>
  </si>
  <si>
    <t xml:space="preserve">Its architecture reflects the coming together of cultural elements from elsewhere in the Philippines, from China and from Europe...</t>
  </si>
  <si>
    <t xml:space="preserve">https://whc.unesco.org/en/list/502/</t>
  </si>
  <si>
    <t xml:space="preserve">Baroque Churches of the Philippines</t>
  </si>
  <si>
    <t xml:space="preserve">菲律宾的巴洛克教堂</t>
  </si>
  <si>
    <t xml:space="preserve">Chinese craftsmen</t>
  </si>
  <si>
    <t xml:space="preserve">Their unique architectural style is a reinterpretation of European Baroque by Chinese and Philippine craftsmen.</t>
  </si>
  <si>
    <t xml:space="preserve">https://whc.unesco.org/en/list/677/</t>
  </si>
  <si>
    <t xml:space="preserve">Central Sector of the Imperial Citadel of Thang Long - Hanoi</t>
  </si>
  <si>
    <t xml:space="preserve">河内升龙皇城</t>
  </si>
  <si>
    <t xml:space="preserve">Chinese political presence / influence</t>
  </si>
  <si>
    <t xml:space="preserve">It was constructed on the remains of a Chinese fortress dating from the 7th century... at the crossroads between influences coming from China in the north and the ancient Kingdom of Champa in the south.</t>
  </si>
  <si>
    <t xml:space="preserve">https://whc.unesco.org/en/list/1328/</t>
  </si>
  <si>
    <t xml:space="preserve">Complex of Koguryo Tombs</t>
  </si>
  <si>
    <t xml:space="preserve">高句丽古墓群</t>
  </si>
  <si>
    <t xml:space="preserve">Democratic People's Republic of Korea</t>
  </si>
  <si>
    <t xml:space="preserve">Shared history (Koguryo)</t>
  </si>
  <si>
    <t xml:space="preserve">...the Koguryo Kingdom, one of the strongest kingdoms in nowadays northeast China and half of the Korean peninsula... Only about 90 out of more than 10,000 Koguryo tombs discovered in China and Korea so far, have wall paintings.</t>
  </si>
  <si>
    <t xml:space="preserve">https://whc.unesco.org/en/list/1091/</t>
  </si>
  <si>
    <t xml:space="preserve">Ancient City of Qalhat</t>
  </si>
  <si>
    <t xml:space="preserve">卡尔哈特古城</t>
  </si>
  <si>
    <t xml:space="preserve">Oman</t>
  </si>
  <si>
    <t xml:space="preserve">The Ancient City bears unique archaeological testimony to the trade links between the east coast of Arabia, East Africa, India, China and South-East Asia.</t>
  </si>
  <si>
    <t xml:space="preserve">https://whc.unesco.org/en/list/1537/</t>
  </si>
  <si>
    <t xml:space="preserve">Ruins of Kilwa Kisiwani and Ruins of Songo Mnara</t>
  </si>
  <si>
    <t xml:space="preserve">基尔瓦基斯瓦尼遗址和松戈马拉遗址</t>
  </si>
  <si>
    <t xml:space="preserve">United Republic of Tanzania</t>
  </si>
  <si>
    <t xml:space="preserve">Maritime trade (porcelain)</t>
  </si>
  <si>
    <t xml:space="preserve">From the 13th to the 16th century, the merchants of Kilwa dealt in gold, silver, pearls, perfumes, Arabian crockery, Persian earthenware and Chinese porcelain.</t>
  </si>
  <si>
    <t xml:space="preserve">https://whc.unesco.org/en/list/144/</t>
  </si>
  <si>
    <t xml:space="preserve">Khami Ruins National Monument</t>
  </si>
  <si>
    <t xml:space="preserve">卡米国家遗址纪念地</t>
  </si>
  <si>
    <t xml:space="preserve">Zimbabwe</t>
  </si>
  <si>
    <t xml:space="preserve">Trade goods</t>
  </si>
  <si>
    <t xml:space="preserve">The discovery of objects from Europe and China shows that Khami was a major centre for trade over a long period of time.</t>
  </si>
  <si>
    <t xml:space="preserve">https://whc.unesco.org/en/list/365/</t>
  </si>
  <si>
    <t xml:space="preserve">Iwami Ginzan Silver Mine and its Cultural Landscape</t>
  </si>
  <si>
    <t xml:space="preserve">石见银山遗迹及其文化景观</t>
  </si>
  <si>
    <t xml:space="preserve">Japan</t>
  </si>
  <si>
    <t xml:space="preserve">...port towns from where it was shipped to Korea and China.</t>
  </si>
  <si>
    <t xml:space="preserve">https://whc.unesco.org/en/list/1246/</t>
  </si>
  <si>
    <t xml:space="preserve">Gusuku Sites and Related Properties of the Kingdom of Ryukyu</t>
  </si>
  <si>
    <t xml:space="preserve">琉球王国时期的遗迹</t>
  </si>
  <si>
    <t xml:space="preserve">Justification of criteria (feed)</t>
  </si>
  <si>
    <t xml:space="preserve">Maritime trade / exchange</t>
  </si>
  <si>
    <t xml:space="preserve">For several centuries the Ryukyu islands served as a centre of economic and cultural interchange between south-east Asia, China, Korea, and Japan...</t>
  </si>
  <si>
    <t xml:space="preserve">https://whc.unesco.org/en/list/972/</t>
  </si>
  <si>
    <t xml:space="preserve">Buddhist Monuments in the Horyu-ji Area</t>
  </si>
  <si>
    <t xml:space="preserve">法隆寺地区的佛教古迹</t>
  </si>
  <si>
    <t xml:space="preserve">Cultural influence</t>
  </si>
  <si>
    <t xml:space="preserve">...they illustrate the adaptation of Chinese Buddhist architecture and layout to Japanese culture... the introduction of Buddhism to Japan from China by way of the Korean peninsula.</t>
  </si>
  <si>
    <t xml:space="preserve">https://whc.unesco.org/en/list/660/</t>
  </si>
  <si>
    <t xml:space="preserve">Historic Monuments of Ancient Kyoto (Kyoto, Uji and Otsu Cities)</t>
  </si>
  <si>
    <t xml:space="preserve">古京都遗址（京都、宇治和大津城）</t>
  </si>
  <si>
    <t xml:space="preserve">Built in A.D. 794 on the model of the capitals of ancient China, Kyoto was the imperial capital of Japan...</t>
  </si>
  <si>
    <t xml:space="preserve">https://whc.unesco.org/en/list/688/</t>
  </si>
  <si>
    <t xml:space="preserve">Historic Monuments of Ancient Nara</t>
  </si>
  <si>
    <t xml:space="preserve">古奈良的历史遗迹</t>
  </si>
  <si>
    <t xml:space="preserve">...the evolution of Japanese architecture and art as a result of cultural links with China and Korea...</t>
  </si>
  <si>
    <t xml:space="preserve">https://whc.unesco.org/en/list/870/</t>
  </si>
  <si>
    <t xml:space="preserve">Sacred Sites and Pilgrimage Routes in the Kii Mountain Range</t>
  </si>
  <si>
    <t xml:space="preserve">纪伊山地的圣地与参拜道</t>
  </si>
  <si>
    <t xml:space="preserve">...Buddhism, which was introduced from China and the Korean Peninsula.</t>
  </si>
  <si>
    <t xml:space="preserve">https://whc.unesco.org/en/list/1142/</t>
  </si>
  <si>
    <t xml:space="preserve">Ancient Capitals of Asuka and Fujiwara</t>
  </si>
  <si>
    <t xml:space="preserve">飞鸟与藤原古都</t>
  </si>
  <si>
    <t xml:space="preserve">...a centralised state system modelled after the Chinese codified law known as ritsuryō.</t>
  </si>
  <si>
    <t xml:space="preserve">https://whc.unesco.org/en/list/1757/</t>
  </si>
  <si>
    <t xml:space="preserve">Baekje Historic Areas</t>
  </si>
  <si>
    <t xml:space="preserve">百济遗址区</t>
  </si>
  <si>
    <t xml:space="preserve">Republic of Korea</t>
  </si>
  <si>
    <t xml:space="preserve">Cultural influence / exchange</t>
  </si>
  <si>
    <t xml:space="preserve">...exchanges between the ancient East Asian kingdoms in Korea, China and Japan.</t>
  </si>
  <si>
    <t xml:space="preserve">https://whc.unesco.org/en/list/1477/</t>
  </si>
  <si>
    <t xml:space="preserve">Seowon, Korean Neo-Confucian Academies</t>
  </si>
  <si>
    <t xml:space="preserve">韩国新儒学书院</t>
  </si>
  <si>
    <t xml:space="preserve">The seowons illustrate a historical process in which Neo-Confucianism from China was adapted to Korean conditions.</t>
  </si>
  <si>
    <t xml:space="preserve">https://whc.unesco.org/en/list/1498/</t>
  </si>
  <si>
    <t xml:space="preserve">Namhansanseong</t>
  </si>
  <si>
    <t xml:space="preserve">Conflict / influence</t>
  </si>
  <si>
    <t xml:space="preserve">...rebuilt... in anticipation of an attack from the Sino-Manchu Qing dynasty... based on Chinese and Japanese influences...</t>
  </si>
  <si>
    <t xml:space="preserve">https://whc.unesco.org/en/list/1439/</t>
  </si>
  <si>
    <t xml:space="preserve">Royal Domain of Drottningholm</t>
  </si>
  <si>
    <t xml:space="preserve">德罗特宁霍尔摩皇宫</t>
  </si>
  <si>
    <t xml:space="preserve">Sweden</t>
  </si>
  <si>
    <t xml:space="preserve">Chinoiserie (European taste)</t>
  </si>
  <si>
    <t xml:space="preserve">With its castle, perfectly preserved theatre (built in 1766), Chinese pavilion and gardens...</t>
  </si>
  <si>
    <t xml:space="preserve">https://whc.unesco.org/en/list/559/</t>
  </si>
  <si>
    <t xml:space="preserve">The Cemetery Complexes of the Xiongnu Nobility</t>
  </si>
  <si>
    <t xml:space="preserve">匈奴贵族墓葬群</t>
  </si>
  <si>
    <t xml:space="preserve">Mongolia</t>
  </si>
  <si>
    <t xml:space="preserve">Silk Roads / Han interaction</t>
  </si>
  <si>
    <t xml:space="preserve">They interacted with the Han Chinese and controlled nodes along the main parts of the Steppe Route of the Silk Roads.</t>
  </si>
  <si>
    <t xml:space="preserve">https://whc.unesco.org/en/list/1759/</t>
  </si>
  <si>
    <t xml:space="preserve">Silk Roads: Zarafshan-Karakum Corridor</t>
  </si>
  <si>
    <r>
      <rPr>
        <sz val="10"/>
        <rFont val="Noto Sans CJK SC"/>
        <family val="2"/>
      </rPr>
      <t xml:space="preserve">丝绸之路：扎拉夫尚</t>
    </r>
    <r>
      <rPr>
        <sz val="10"/>
        <rFont val="Arial"/>
        <family val="0"/>
        <charset val="1"/>
      </rPr>
      <t xml:space="preserve">-</t>
    </r>
    <r>
      <rPr>
        <sz val="10"/>
        <rFont val="Noto Sans CJK SC"/>
        <family val="2"/>
      </rPr>
      <t xml:space="preserve">卡拉库姆廊道</t>
    </r>
  </si>
  <si>
    <t xml:space="preserve">Tajikistan, Turkmenistan, Uzbekistan</t>
  </si>
  <si>
    <t xml:space="preserve">Site name + short description (feed)</t>
  </si>
  <si>
    <t xml:space="preserve">Silk Roads (no China component)</t>
  </si>
  <si>
    <t xml:space="preserve">The Zarafshan-Karakum Corridor is a key section of the Silk Roads in Central Asia that connects other corridors from all directions.</t>
  </si>
  <si>
    <t xml:space="preserve">https://whc.unesco.org/en/list/1675/</t>
  </si>
  <si>
    <t xml:space="preserve">Tabriz Historic Bazaar Complex</t>
  </si>
  <si>
    <t xml:space="preserve">大不里士的集市区</t>
  </si>
  <si>
    <t xml:space="preserve">Iran (Islamic Republic of)</t>
  </si>
  <si>
    <t xml:space="preserve">...one of the most important commercial centres on the Silk Road.</t>
  </si>
  <si>
    <t xml:space="preserve">https://whc.unesco.org/en/list/1346/</t>
  </si>
  <si>
    <t xml:space="preserve">Historic City of Yazd</t>
  </si>
  <si>
    <t xml:space="preserve">...close to the Spice and Silk Roads.</t>
  </si>
  <si>
    <t xml:space="preserve">https://whc.unesco.org/en/list/1544/</t>
  </si>
  <si>
    <t xml:space="preserve">Sulaiman-Too Sacred Mountain</t>
  </si>
  <si>
    <t xml:space="preserve">Kyrgyzstan</t>
  </si>
  <si>
    <t xml:space="preserve">...at the crossroads of important routes on the Central Asian Silk Roads.</t>
  </si>
  <si>
    <t xml:space="preserve">https://whc.unesco.org/en/list/1230/</t>
  </si>
  <si>
    <t xml:space="preserve">Cultural Heritage Sites of Ancient Khuttal</t>
  </si>
  <si>
    <t xml:space="preserve">古骨咄的文化遗产地</t>
  </si>
  <si>
    <t xml:space="preserve">Tajikistan</t>
  </si>
  <si>
    <t xml:space="preserve">...reflecting its role from the 7th to 16th centuries in Silk Roads trade.</t>
  </si>
  <si>
    <t xml:space="preserve">https://whc.unesco.org/en/list/1627/</t>
  </si>
  <si>
    <t xml:space="preserve">Archaeological Site of Ani</t>
  </si>
  <si>
    <t xml:space="preserve">Türkiye</t>
  </si>
  <si>
    <t xml:space="preserve">...profited from control of one branch of the Silk Road.</t>
  </si>
  <si>
    <t xml:space="preserve">https://whc.unesco.org/en/list/1518/</t>
  </si>
  <si>
    <t xml:space="preserve">Cultural Landscape and Archaeological Remains of the Bamiyan Valley</t>
  </si>
  <si>
    <t xml:space="preserve">巴米扬山谷的文化景观和考古遗迹</t>
  </si>
  <si>
    <t xml:space="preserve">Afghanistan</t>
  </si>
  <si>
    <t xml:space="preserve">...an important Buddhist centre on the Silk Road...</t>
  </si>
  <si>
    <t xml:space="preserve">https://whc.unesco.org/en/list/208/</t>
  </si>
  <si>
    <t xml:space="preserve">Landscapes of Dauria</t>
  </si>
  <si>
    <t xml:space="preserve">Mongolia, Russian Federation</t>
  </si>
  <si>
    <t xml:space="preserve">Geographic mention only</t>
  </si>
  <si>
    <t xml:space="preserve">...the Daurian Steppe eco-region, which extends from eastern Mongolia into Russian Siberia and northeastern China.</t>
  </si>
  <si>
    <t xml:space="preserve">https://whc.unesco.org/en/list/1448/</t>
  </si>
  <si>
    <t xml:space="preserve">Keoladeo National Park</t>
  </si>
  <si>
    <t xml:space="preserve">凯奥拉德奥国家公园</t>
  </si>
  <si>
    <t xml:space="preserve">India</t>
  </si>
  <si>
    <t xml:space="preserve">...wintering areas for large numbers of aquatic birds from Afghanistan, Turkmenistan, China and Siberia.</t>
  </si>
  <si>
    <t xml:space="preserve">https://whc.unesco.org/en/list/340/</t>
  </si>
  <si>
    <t xml:space="preserve">Kinabalu Park</t>
  </si>
  <si>
    <t xml:space="preserve">基纳巴卢山公园</t>
  </si>
  <si>
    <t xml:space="preserve">...flora from the Himalayas, China, Australia, Malaysia...</t>
  </si>
  <si>
    <t xml:space="preserve">https://whc.unesco.org/en/list/1012/</t>
  </si>
  <si>
    <t xml:space="preserve">Amami-Oshima Island, Tokunoshima Island, Northern part of Okinawa Island, and Iriomote Island</t>
  </si>
  <si>
    <t xml:space="preserve">奄美大岛、德之岛、冲绳岛北部及西表岛</t>
  </si>
  <si>
    <t xml:space="preserve">...the serial site forms an arc on the boundary of the East China Sea and Philippine Sea...</t>
  </si>
  <si>
    <t xml:space="preserve">https://whc.unesco.org/en/list/1574/</t>
  </si>
  <si>
    <t xml:space="preserve">Record type</t>
  </si>
  <si>
    <t xml:space="preserve">Name</t>
  </si>
  <si>
    <t xml:space="preserve">States</t>
  </si>
  <si>
    <t xml:space="preserve">Year(s)</t>
  </si>
  <si>
    <t xml:space="preserve">List / programme</t>
  </si>
  <si>
    <t xml:space="preserve">Relevance to project</t>
  </si>
  <si>
    <t xml:space="preserve">Link</t>
  </si>
  <si>
    <t xml:space="preserve">Intangible heritage (joint)</t>
  </si>
  <si>
    <t xml:space="preserve">Ong Chun/Wangchuan/Wangkang ceremony, rituals and related practices for maintaining the sustainable connection between man and the ocean</t>
  </si>
  <si>
    <t xml:space="preserve">China + Malaysia</t>
  </si>
  <si>
    <t xml:space="preserve">2020</t>
  </si>
  <si>
    <t xml:space="preserve">Representative List; decision 15.COM 8.B.22</t>
  </si>
  <si>
    <t xml:space="preserve">Diaspora / Maritime</t>
  </si>
  <si>
    <t xml:space="preserve">Joint China-Malaysia nomination. UNESCO text: 'Developed in China's Minnan region between the fifteenth and seventeenth centuries, the element is now centered in the coastal areas of Xiamen Bay and Quanzhou Bay, as well as in the Chinese communities in Melaka, Malaysia.'</t>
  </si>
  <si>
    <t xml:space="preserve">https://ich.unesco.org/en/RL/ong-chun-wangchuan-wangkang-ceremony-rituals-and-related-practices-for-maintaining-the-sustainable-connection-between-man-and-the-ocean-01608</t>
  </si>
  <si>
    <t xml:space="preserve">Urtiin Duu, traditional folk long song</t>
  </si>
  <si>
    <t xml:space="preserve">Mongolia + China</t>
  </si>
  <si>
    <t xml:space="preserve">2005 proclaimed; 2008 inscribed</t>
  </si>
  <si>
    <t xml:space="preserve">Representative List</t>
  </si>
  <si>
    <t xml:space="preserve">Shared cross-border tradition</t>
  </si>
  <si>
    <t xml:space="preserve">Joint Mongolia-China element.</t>
  </si>
  <si>
    <t xml:space="preserve">https://ich.unesco.org/en/RL/urtiin-duu-traditional-folk-long-song-00115</t>
  </si>
  <si>
    <t xml:space="preserve">Intangible heritage (parallel national)</t>
  </si>
  <si>
    <t xml:space="preserve">Mongolian art of singing, Khoomei (China) vs Mongolian traditional art of Khöömei (Mongolia)</t>
  </si>
  <si>
    <t xml:space="preserve">China (2009); Mongolia (2010)</t>
  </si>
  <si>
    <t xml:space="preserve">2009 / 2010</t>
  </si>
  <si>
    <t xml:space="preserve">Representative List, two separate national inscriptions</t>
  </si>
  <si>
    <t xml:space="preserve">Framing contest</t>
  </si>
  <si>
    <t xml:space="preserve">Same tradition inscribed separately by each state a year apart. Useful case for 'who defines heritage'.</t>
  </si>
  <si>
    <t xml:space="preserve">https://ich.unesco.org/en/RL/mongolian-art-of-singing-khoomei-00210 ; https://ich.unesco.org/en/RL/mongolian-traditional-art-of-khoomei-00396</t>
  </si>
  <si>
    <t xml:space="preserve">Intangible heritage (China only)</t>
  </si>
  <si>
    <t xml:space="preserve">Mazu belief and customs</t>
  </si>
  <si>
    <t xml:space="preserve">China</t>
  </si>
  <si>
    <t xml:space="preserve">2009</t>
  </si>
  <si>
    <t xml:space="preserve">Diaspora (lead)</t>
  </si>
  <si>
    <t xml:space="preserve">China-only inscription of a practice with temples across the Chinese diaspora. Lead for the historical-presence layer; not yet checked against UNESCO text.</t>
  </si>
  <si>
    <t xml:space="preserve">https://ich.unesco.org/en/state/china-CN?info=elements-on-the-lists</t>
  </si>
  <si>
    <t xml:space="preserve">Nanyin</t>
  </si>
  <si>
    <t xml:space="preserve">China-only inscription (Quanzhou music) also practised in Southeast Asian Chinese communities. Lead only; not yet checked against UNESCO text.</t>
  </si>
  <si>
    <t xml:space="preserve">Watertight-bulkhead technology of Chinese junks</t>
  </si>
  <si>
    <t xml:space="preserve">2010</t>
  </si>
  <si>
    <t xml:space="preserve">Urgent Safeguarding List</t>
  </si>
  <si>
    <t xml:space="preserve">Maritime (lead)</t>
  </si>
  <si>
    <t xml:space="preserve">Maritime technology; possible link to Maritime Silk Road framing. Lead only.</t>
  </si>
  <si>
    <t xml:space="preserve">Memory of the World</t>
  </si>
  <si>
    <t xml:space="preserve">Qiaopi and Yinxin Correspondence and Remittance Documents from Overseas Chinese</t>
  </si>
  <si>
    <t xml:space="preserve">2013 (international); 2012 Asia-Pacific register (Teochew qiaopi)</t>
  </si>
  <si>
    <t xml:space="preserve">International Register</t>
  </si>
  <si>
    <t xml:space="preserve">Diaspora</t>
  </si>
  <si>
    <t xml:space="preserve">Letters and remittances between overseas Chinese and home villages. Directly relevant to overseas Chinese heritage. UNESCO page could not be fetched (robots); details via secondary source.</t>
  </si>
  <si>
    <t xml:space="preserve">https://www.unesco.org/en/memory-world/qiaopi-and-yinxin-correspondence-and-remittance-documents-overseas-chinese</t>
  </si>
  <si>
    <t xml:space="preserve">UNESCO programme</t>
  </si>
  <si>
    <t xml:space="preserve">UNESCO Silk Roads Project / Programme (incl. 1990-91 Maritime Route Expedition)</t>
  </si>
  <si>
    <t xml:space="preserve">Multinational</t>
  </si>
  <si>
    <t xml:space="preserve">1988-1998 project; programme ongoing</t>
  </si>
  <si>
    <t xml:space="preserve">Social and Human Sciences Sector</t>
  </si>
  <si>
    <t xml:space="preserve">Silk Roads / Maritime</t>
  </si>
  <si>
    <t xml:space="preserve">Sen (2023) links the 1990-91 expedition ('90 scholars from 26 countries', 21 ports) to the rise of the 'Maritime Silk Road' concept in the PRC. Key for tracking framing over time.</t>
  </si>
  <si>
    <t xml:space="preserve">https://en.unesco.org/silkroad</t>
  </si>
  <si>
    <t xml:space="preserve">UNESCO capacity-building project</t>
  </si>
  <si>
    <t xml:space="preserve">Safeguarding World Heritage along the Silk Roads (Silk Roads transnational nomination support)</t>
  </si>
  <si>
    <t xml:space="preserve">Kazakhstan, Kyrgyzstan, Tajikistan, Turkmenistan, Uzbekistan, China and others</t>
  </si>
  <si>
    <t xml:space="preserve">2011-2014 (Phase I); 2015-2018 (Phase II)</t>
  </si>
  <si>
    <t xml:space="preserve">UNESCO/Japan Funds-in-Trust, run by World Heritage Centre</t>
  </si>
  <si>
    <t xml:space="preserve">Supported the corridor nominations, including Chang'an-Tianshan (2014). Shows Japan, not China, as funder of this track.</t>
  </si>
  <si>
    <t xml:space="preserve">https://southsouth-galaxy.org/solution/safeguarding-world-heritage-along-the-silk-roads/</t>
  </si>
  <si>
    <t xml:space="preserve">UNESCO category 2 centre (in China)</t>
  </si>
  <si>
    <t xml:space="preserve">World Heritage Institute of Training and Research for the Asia and the Pacific Region (WHITRAP)</t>
  </si>
  <si>
    <t xml:space="preserve">China (serves Asia-Pacific)</t>
  </si>
  <si>
    <t xml:space="preserve">Established under UNESCO auspices (year to confirm)</t>
  </si>
  <si>
    <t xml:space="preserve">Category 2 centre; Beijing, Shanghai, Suzhou</t>
  </si>
  <si>
    <t xml:space="preserve">Chinese institutional engagement</t>
  </si>
  <si>
    <t xml:space="preserve">Chinese-hosted UNESCO training institute serving other States Parties. Source for training and partnership data.</t>
  </si>
  <si>
    <t xml:space="preserve">https://whitrap.pku.edu.cn/About_us/Introduction_Center.htm</t>
  </si>
  <si>
    <t xml:space="preserve">Document</t>
  </si>
  <si>
    <t xml:space="preserve">Type</t>
  </si>
  <si>
    <t xml:space="preserve">Year</t>
  </si>
  <si>
    <t xml:space="preserve">URL</t>
  </si>
  <si>
    <t xml:space="preserve">Nomination file 1442</t>
  </si>
  <si>
    <t xml:space="preserve">Nomination</t>
  </si>
  <si>
    <t xml:space="preserve">https://whc.unesco.org/uploads/nominations/1442.pdf</t>
  </si>
  <si>
    <t xml:space="preserve">Advisory Body Evaluation (ICOMOS)</t>
  </si>
  <si>
    <t xml:space="preserve">Evaluation</t>
  </si>
  <si>
    <t xml:space="preserve">https://whc.unesco.org/document/152690</t>
  </si>
  <si>
    <t xml:space="preserve">Maps of inscribed property</t>
  </si>
  <si>
    <t xml:space="preserve">Maps</t>
  </si>
  <si>
    <t xml:space="preserve">https://whc.unesco.org/document/132728</t>
  </si>
  <si>
    <t xml:space="preserve">Decision 38COM 8B.24 (inscription)</t>
  </si>
  <si>
    <t xml:space="preserve">Decision</t>
  </si>
  <si>
    <t xml:space="preserve">https://whc.unesco.org/en/decisions/6110</t>
  </si>
  <si>
    <t xml:space="preserve">Decision 40COM 7B.34</t>
  </si>
  <si>
    <t xml:space="preserve">Decision (state of conservation)</t>
  </si>
  <si>
    <t xml:space="preserve">2016</t>
  </si>
  <si>
    <t xml:space="preserve">https://whc.unesco.org/en/decisions/6699</t>
  </si>
  <si>
    <t xml:space="preserve">Decision 41COM 7B.88</t>
  </si>
  <si>
    <t xml:space="preserve">2017</t>
  </si>
  <si>
    <t xml:space="preserve">https://whc.unesco.org/en/decisions/7087</t>
  </si>
  <si>
    <t xml:space="preserve">Decision 42COM 7B.5</t>
  </si>
  <si>
    <t xml:space="preserve">2018</t>
  </si>
  <si>
    <t xml:space="preserve">https://whc.unesco.org/en/decisions/7234</t>
  </si>
  <si>
    <t xml:space="preserve">Decision 44COM 7B.22</t>
  </si>
  <si>
    <t xml:space="preserve">2021</t>
  </si>
  <si>
    <t xml:space="preserve">https://whc.unesco.org/en/decisions/7740</t>
  </si>
  <si>
    <t xml:space="preserve">Decision 45COM 7B.156</t>
  </si>
  <si>
    <t xml:space="preserve">2023</t>
  </si>
  <si>
    <t xml:space="preserve">https://whc.unesco.org/en/decisions/8160</t>
  </si>
  <si>
    <t xml:space="preserve">Decision 47COM 7B.67</t>
  </si>
  <si>
    <t xml:space="preserve">2025</t>
  </si>
  <si>
    <t xml:space="preserve">https://whc.unesco.org/en/decisions/8791</t>
  </si>
  <si>
    <t xml:space="preserve">ICOMOS Advisory Mission Report - Talgar component (Kazakhstan)</t>
  </si>
  <si>
    <t xml:space="preserve">Mission report</t>
  </si>
  <si>
    <t xml:space="preserve">https://whc.unesco.org/document/142401</t>
  </si>
  <si>
    <t xml:space="preserve">Joint WHC/ICOMOS Reactive Monitoring Mission Report (Kazakhstan)</t>
  </si>
  <si>
    <t xml:space="preserve">https://whc.unesco.org/document/158586</t>
  </si>
  <si>
    <t xml:space="preserve">Periodic Reporting Cycle 3, Section II</t>
  </si>
  <si>
    <t xml:space="preserve">Periodic report</t>
  </si>
  <si>
    <t xml:space="preserve">https://whc.unesco.org/document/217919</t>
  </si>
  <si>
    <t xml:space="preserve">State of conservation report (multilingual)</t>
  </si>
  <si>
    <t xml:space="preserve">SOC report</t>
  </si>
  <si>
    <t xml:space="preserve">https://whc.unesco.org/document/218280</t>
  </si>
  <si>
    <t xml:space="preserve">State of conservation report</t>
  </si>
  <si>
    <t xml:space="preserve">https://whc.unesco.org/document/180694</t>
  </si>
  <si>
    <t xml:space="preserve">State of conservation report (Kazakhstan)</t>
  </si>
  <si>
    <t xml:space="preserve">https://whc.unesco.org/document/166338</t>
  </si>
  <si>
    <t xml:space="preserve">https://whc.unesco.org/document/156862</t>
  </si>
  <si>
    <t xml:space="preserve">State of conservation report (China)</t>
  </si>
  <si>
    <t xml:space="preserve">https://whc.unesco.org/document/165239</t>
  </si>
  <si>
    <t xml:space="preserve">https://whc.unesco.org/document/139846</t>
  </si>
  <si>
    <t xml:space="preserve">State of conservation report (Kyrgyzstan)</t>
  </si>
  <si>
    <t xml:space="preserve">https://whc.unesco.org/document/139897</t>
  </si>
  <si>
    <t xml:space="preserve">Summary state of conservation report (China)</t>
  </si>
  <si>
    <t xml:space="preserve">2015</t>
  </si>
  <si>
    <t xml:space="preserve">https://whc.unesco.org/document/139854</t>
  </si>
  <si>
    <t xml:space="preserve">Source</t>
  </si>
  <si>
    <t xml:space="preserve">Access method</t>
  </si>
  <si>
    <t xml:space="preserve">Systematic / structured?</t>
  </si>
  <si>
    <t xml:space="preserve">Notes for the project</t>
  </si>
  <si>
    <t xml:space="preserve">World Heritage List - XML feed (EN)</t>
  </si>
  <si>
    <t xml:space="preserve">https://whc.unesco.org/en/list/xml/</t>
  </si>
  <si>
    <t xml:space="preserve">Bulk download</t>
  </si>
  <si>
    <t xml:space="preserve">Yes: 1,273 properties. Fields: id_number, site, states, iso_code, category, criteria_txt, date_inscribed, secondary_dates, danger, transnational, regions, location, short_description, justification, geolocations (one point per component).</t>
  </si>
  <si>
    <t xml:space="preserve">Best base layer. id_number is a stable key. Short text only: no full OUV statement.</t>
  </si>
  <si>
    <t xml:space="preserve">World Heritage List - XML feed (ZH)</t>
  </si>
  <si>
    <t xml:space="preserve">https://whc.unesco.org/zh/list/xml/</t>
  </si>
  <si>
    <t xml:space="preserve">Yes: same 1,273 records in Chinese.</t>
  </si>
  <si>
    <t xml:space="preserve">Gives UNESCO's own Chinese names and descriptions for comparing framing. Gaps: e.g. 1442 Silk Roads, 1111 Hani Terraces, 1223 Melaka, 1541 Kulangsu have empty Chinese names.</t>
  </si>
  <si>
    <t xml:space="preserve">World Heritage List - XLS/XLSX, KML, GeoRSS, RSS</t>
  </si>
  <si>
    <t xml:space="preserve">https://whc.unesco.org/en/syndication</t>
  </si>
  <si>
    <t xml:space="preserve">Yes.</t>
  </si>
  <si>
    <t xml:space="preserve">XLSX and KML are handy for mapping. Same content as XML.</t>
  </si>
  <si>
    <t xml:space="preserve">Site pages (/en/list/{id}/)</t>
  </si>
  <si>
    <t xml:space="preserve">Web page</t>
  </si>
  <si>
    <t xml:space="preserve">Partly: full Statement of OUV, brief synthesis, criteria text.</t>
  </si>
  <si>
    <t xml:space="preserve">Holds the richer wording (e.g. Chinese communities in Melaka, Hoi An) that the feed lacks. Not syndicated: UNESCO terms say non-syndicated sections may not be scraped. Read manually or ask permission.</t>
  </si>
  <si>
    <t xml:space="preserve">Documents pages (/en/list/{id}/documents/)</t>
  </si>
  <si>
    <t xml:space="preserve">Web page + PDFs</t>
  </si>
  <si>
    <t xml:space="preserve">Yes, per site: nomination file, ICOMOS/IUCN evaluation, decisions, maps, mission, SOC and periodic reports.</t>
  </si>
  <si>
    <t xml:space="preserve">Key for dated framings (nomination vs evaluation vs decisions). PDFs are large (1442 nomination file ~1 GB).</t>
  </si>
  <si>
    <t xml:space="preserve">Tentative Lists (/en/tentativelists/{id}/)</t>
  </si>
  <si>
    <t xml:space="preserve">https://whc.unesco.org/en/statesparties/cn</t>
  </si>
  <si>
    <t xml:space="preserve">Partly: no bulk feed found.</t>
  </si>
  <si>
    <t xml:space="preserve">China has 60 TL entries. Other countries' TL entries mentioning China cannot be searched in bulk without scraping; use manual search or request data.</t>
  </si>
  <si>
    <t xml:space="preserve">Decisions database</t>
  </si>
  <si>
    <t xml:space="preserve">https://whc.unesco.org/en/decisions/</t>
  </si>
  <si>
    <t xml:space="preserve">Searchable by keyword and session.</t>
  </si>
  <si>
    <t xml:space="preserve">Use for UNESCO's official wording over time (e.g. 'Maritime Silk Road' in decisions).</t>
  </si>
  <si>
    <t xml:space="preserve">Intangible Cultural Heritage lists</t>
  </si>
  <si>
    <t xml:space="preserve">Partly: list per state; multinational status only on element pages.</t>
  </si>
  <si>
    <t xml:space="preserve">China: 45 elements. Joint ones found: Ong Chun/Wangchuan/Wangkang (with Malaysia), Urtiin Duu (with Mongolia).</t>
  </si>
  <si>
    <t xml:space="preserve">https://www.unesco.org/en/memory-world</t>
  </si>
  <si>
    <t xml:space="preserve">Partly.</t>
  </si>
  <si>
    <t xml:space="preserve">unesco.org blocked automated fetching (robots.txt). Read manually.</t>
  </si>
  <si>
    <t xml:space="preserve">Wikidata (crosswalk)</t>
  </si>
  <si>
    <t xml:space="preserve">https://www.wikidata.org</t>
  </si>
  <si>
    <t xml:space="preserve">SPARQL API</t>
  </si>
  <si>
    <t xml:space="preserve">Yes: links WH IDs to multilingual names and coordinates.</t>
  </si>
  <si>
    <t xml:space="preserve">Not reachable from this workspace; test in Phase 2.</t>
  </si>
  <si>
    <t xml:space="preserve">Owner type</t>
  </si>
  <si>
    <t xml:space="preserve">URL (example page)</t>
  </si>
  <si>
    <t xml:space="preserve">Coverage (layers, regions)</t>
  </si>
  <si>
    <t xml:space="preserve">Language</t>
  </si>
  <si>
    <t xml:space="preserve">How systematic</t>
  </si>
  <si>
    <t xml:space="preserve">Access method (preliminary, for Phase 2)</t>
  </si>
  <si>
    <t xml:space="preserve">Historical versions</t>
  </si>
  <si>
    <t xml:space="preserve">Framing notes</t>
  </si>
  <si>
    <t xml:space="preserve">Reliability</t>
  </si>
  <si>
    <r>
      <rPr>
        <sz val="10"/>
        <rFont val="Arial"/>
        <family val="0"/>
        <charset val="1"/>
      </rPr>
      <t xml:space="preserve">National Cultural Heritage Administration (</t>
    </r>
    <r>
      <rPr>
        <sz val="10"/>
        <rFont val="Noto Sans CJK SC"/>
        <family val="2"/>
      </rPr>
      <t xml:space="preserve">国家文物局</t>
    </r>
    <r>
      <rPr>
        <sz val="10"/>
        <rFont val="Arial"/>
        <family val="0"/>
        <charset val="1"/>
      </rPr>
      <t xml:space="preserve">, NCHA)</t>
    </r>
  </si>
  <si>
    <t xml:space="preserve">Chinese government (heritage regulator)</t>
  </si>
  <si>
    <t xml:space="preserve">http://www.ncha.gov.cn/</t>
  </si>
  <si>
    <t xml:space="preserve">Institutional engagement (aid restoration, joint archaeology, Asian Cultural Heritage Protection Action, ACHA); UNESCO and nominations (China's own and transnational). Global, with focus on Asia, Silk Roads, Africa.</t>
  </si>
  <si>
    <t xml:space="preserve">Chinese</t>
  </si>
  <si>
    <r>
      <rPr>
        <sz val="10"/>
        <rFont val="Arial"/>
        <family val="0"/>
        <charset val="1"/>
      </rPr>
      <t xml:space="preserve">Semi-structured. No dedicated international column: overseas items are scattered across </t>
    </r>
    <r>
      <rPr>
        <sz val="10"/>
        <rFont val="Noto Sans CJK SC"/>
        <family val="2"/>
      </rPr>
      <t xml:space="preserve">文物要闻</t>
    </r>
    <r>
      <rPr>
        <sz val="10"/>
        <rFont val="Arial"/>
        <family val="0"/>
        <charset val="1"/>
      </rPr>
      <t xml:space="preserve">, </t>
    </r>
    <r>
      <rPr>
        <sz val="10"/>
        <rFont val="Noto Sans CJK SC"/>
        <family val="2"/>
      </rPr>
      <t xml:space="preserve">工作动态 </t>
    </r>
    <r>
      <rPr>
        <sz val="10"/>
        <rFont val="Arial"/>
        <family val="0"/>
        <charset val="1"/>
      </rPr>
      <t xml:space="preserve">and </t>
    </r>
    <r>
      <rPr>
        <sz val="10"/>
        <rFont val="Noto Sans CJK SC"/>
        <family val="2"/>
      </rPr>
      <t xml:space="preserve">政务公开</t>
    </r>
    <r>
      <rPr>
        <sz val="10"/>
        <rFont val="Arial"/>
        <family val="0"/>
        <charset val="1"/>
      </rPr>
      <t xml:space="preserve">. Article URLs are dated (/art/YYYY/M/D/).</t>
    </r>
  </si>
  <si>
    <t xml:space="preserve">Scraping via dated article URLs. Site search (/jsearch/) did not respond to plain URL queries; needs browser automation. Loads from outside China.</t>
  </si>
  <si>
    <t xml:space="preserve">Yes: archive back to at least 2014; five-year plans 2017, 2021, 2026 form a dated series.</t>
  </si>
  <si>
    <r>
      <rPr>
        <sz val="10"/>
        <rFont val="Arial"/>
        <family val="0"/>
        <charset val="1"/>
      </rPr>
      <t xml:space="preserve">Official policy language: </t>
    </r>
    <r>
      <rPr>
        <sz val="10"/>
        <rFont val="Noto Sans CJK SC"/>
        <family val="2"/>
      </rPr>
      <t xml:space="preserve">文明交流互鉴</t>
    </r>
    <r>
      <rPr>
        <sz val="10"/>
        <rFont val="Arial"/>
        <family val="0"/>
        <charset val="1"/>
      </rPr>
      <t xml:space="preserve">, </t>
    </r>
    <r>
      <rPr>
        <sz val="10"/>
        <rFont val="Noto Sans CJK SC"/>
        <family val="2"/>
      </rPr>
      <t xml:space="preserve">一带一路</t>
    </r>
    <r>
      <rPr>
        <sz val="10"/>
        <rFont val="Arial"/>
        <family val="0"/>
        <charset val="1"/>
      </rPr>
      <t xml:space="preserve">, </t>
    </r>
    <r>
      <rPr>
        <sz val="10"/>
        <rFont val="Noto Sans CJK SC"/>
        <family val="2"/>
      </rPr>
      <t xml:space="preserve">服务国家外交大局</t>
    </r>
    <r>
      <rPr>
        <sz val="10"/>
        <rFont val="Arial"/>
        <family val="0"/>
        <charset val="1"/>
      </rPr>
      <t xml:space="preserve">, </t>
    </r>
    <r>
      <rPr>
        <sz val="10"/>
        <rFont val="Noto Sans CJK SC"/>
        <family val="2"/>
      </rPr>
      <t xml:space="preserve">全球文明倡议</t>
    </r>
    <r>
      <rPr>
        <sz val="10"/>
        <rFont val="Arial"/>
        <family val="0"/>
        <charset val="1"/>
      </rPr>
      <t xml:space="preserve">, </t>
    </r>
    <r>
      <rPr>
        <sz val="10"/>
        <rFont val="Noto Sans CJK SC"/>
        <family val="2"/>
      </rPr>
      <t xml:space="preserve">中国智慧和方案</t>
    </r>
    <r>
      <rPr>
        <sz val="10"/>
        <rFont val="Arial"/>
        <family val="0"/>
        <charset val="1"/>
      </rPr>
      <t xml:space="preserve">.</t>
    </r>
  </si>
  <si>
    <t xml:space="preserve">High for what China says and does; not neutral.</t>
  </si>
  <si>
    <r>
      <rPr>
        <sz val="10"/>
        <rFont val="Arial"/>
        <family val="0"/>
        <charset val="1"/>
      </rPr>
      <t xml:space="preserve">NCHA five-year plans (</t>
    </r>
    <r>
      <rPr>
        <sz val="10"/>
        <rFont val="Noto Sans CJK SC"/>
        <family val="2"/>
      </rPr>
      <t xml:space="preserve">十三五 </t>
    </r>
    <r>
      <rPr>
        <sz val="10"/>
        <rFont val="Arial"/>
        <family val="0"/>
        <charset val="1"/>
      </rPr>
      <t xml:space="preserve">2017, </t>
    </r>
    <r>
      <rPr>
        <sz val="10"/>
        <rFont val="Noto Sans CJK SC"/>
        <family val="2"/>
      </rPr>
      <t xml:space="preserve">十四五 </t>
    </r>
    <r>
      <rPr>
        <sz val="10"/>
        <rFont val="Arial"/>
        <family val="0"/>
        <charset val="1"/>
      </rPr>
      <t xml:space="preserve">2021, </t>
    </r>
    <r>
      <rPr>
        <sz val="10"/>
        <rFont val="Noto Sans CJK SC"/>
        <family val="2"/>
      </rPr>
      <t xml:space="preserve">十五五 </t>
    </r>
    <r>
      <rPr>
        <sz val="10"/>
        <rFont val="Arial"/>
        <family val="0"/>
        <charset val="1"/>
      </rPr>
      <t xml:space="preserve">2026)</t>
    </r>
  </si>
  <si>
    <t xml:space="preserve">Chinese government (policy documents)</t>
  </si>
  <si>
    <t xml:space="preserve">http://www.ncha.gov.cn/art/2026/7/29/art_2318_48456.html</t>
  </si>
  <si>
    <t xml:space="preserve">All four layers at policy level: named aid projects, joint nominations (Maritime Silk Road, Tea Road), joint archaeology target regions.</t>
  </si>
  <si>
    <t xml:space="preserve">Highly systematic: same document type every five years, comparable sections.</t>
  </si>
  <si>
    <t xml:space="preserve">Manual (3 documents). 14th plan is hosted on ndrc.gov.cn.</t>
  </si>
  <si>
    <t xml:space="preserve">Yes: 2017, 2021, 2026. Best single source for tracking framing change (Phase 5).</t>
  </si>
  <si>
    <t xml:space="preserve">2017: Maritime Silk Road nomination as domestic work. 2026: 'transnational joint nomination' preparatory work; 'serve the overall diplomatic agenda'.</t>
  </si>
  <si>
    <t xml:space="preserve">High (authoritative statement of intent).</t>
  </si>
  <si>
    <r>
      <rPr>
        <sz val="10"/>
        <rFont val="Arial"/>
        <family val="0"/>
        <charset val="1"/>
      </rPr>
      <t xml:space="preserve">Ministry of Culture and Tourism (</t>
    </r>
    <r>
      <rPr>
        <sz val="10"/>
        <rFont val="Noto Sans CJK SC"/>
        <family val="2"/>
      </rPr>
      <t xml:space="preserve">文化和旅游部</t>
    </r>
    <r>
      <rPr>
        <sz val="10"/>
        <rFont val="Arial"/>
        <family val="0"/>
        <charset val="1"/>
      </rPr>
      <t xml:space="preserve">, MCT)</t>
    </r>
  </si>
  <si>
    <t xml:space="preserve">Chinese government (culture ministry)</t>
  </si>
  <si>
    <t xml:space="preserve">https://www.mct.gov.cn/</t>
  </si>
  <si>
    <t xml:space="preserve">Intangible heritage policy and UNESCO ICH nominations (incl. joint China-Malaysia element); cultural exchange; China Cultural Centres abroad.</t>
  </si>
  <si>
    <t xml:space="preserve">Chinese (some English)</t>
  </si>
  <si>
    <t xml:space="preserve">Semi-structured news and policy columns; plans issued as PDF attachments.</t>
  </si>
  <si>
    <t xml:space="preserve">Scraping of news pages; PDFs for plans (ICH 15th five-year plan issued 2026-09-21 as PDF, not yet read).</t>
  </si>
  <si>
    <t xml:space="preserve">Yes: news archive; five-year ICH plans.</t>
  </si>
  <si>
    <t xml:space="preserve">Not yet sampled in depth.</t>
  </si>
  <si>
    <t xml:space="preserve">High for official position.</t>
  </si>
  <si>
    <r>
      <rPr>
        <sz val="10"/>
        <rFont val="Arial"/>
        <family val="0"/>
        <charset val="1"/>
      </rPr>
      <t xml:space="preserve">China Intangible Cultural Heritage Network (</t>
    </r>
    <r>
      <rPr>
        <sz val="10"/>
        <rFont val="Noto Sans CJK SC"/>
        <family val="2"/>
      </rPr>
      <t xml:space="preserve">中国非物质文化遗产网</t>
    </r>
    <r>
      <rPr>
        <sz val="10"/>
        <rFont val="Arial"/>
        <family val="0"/>
        <charset val="1"/>
      </rPr>
      <t xml:space="preserve">, ihchina.cn)</t>
    </r>
  </si>
  <si>
    <t xml:space="preserve">Chinese government-affiliated (run by China ICH Protection Center under MCT)</t>
  </si>
  <si>
    <t xml:space="preserve">https://www.ihchina.cn/project.html</t>
  </si>
  <si>
    <t xml:space="preserve">National ICH list: 3,610 items; 45 UNESCO-inscribed items. Descriptions often mention overseas Chinese, Southeast Asia, Taiwan.</t>
  </si>
  <si>
    <t xml:space="preserve">Highly structured: item ID, number (e.g. Ⅹ-85), title, category, new/extension, year and batch, province/city code, description.</t>
  </si>
  <si>
    <t xml:space="preserve">Open JSON endpoint: /getProject.html?keywords=...&amp;category_id=16&amp;limit=10&amp;p=1 (tested; returns JSON).</t>
  </si>
  <si>
    <t xml:space="preserve">Partial: listing year and batch per item; descriptions not dated.</t>
  </si>
  <si>
    <r>
      <rPr>
        <sz val="10"/>
        <rFont val="Arial"/>
        <family val="0"/>
        <charset val="1"/>
      </rPr>
      <t xml:space="preserve">Diaspora framing: Nanyin as 'spiritual bond' for overseas compatriots and Taiwan compatriots; Mazu spread 'following the footsteps of overseas Chinese'. National title </t>
    </r>
    <r>
      <rPr>
        <sz val="10"/>
        <rFont val="Noto Sans CJK SC"/>
        <family val="2"/>
      </rPr>
      <t xml:space="preserve">闽台送王船 </t>
    </r>
    <r>
      <rPr>
        <sz val="10"/>
        <rFont val="Arial"/>
        <family val="0"/>
        <charset val="1"/>
      </rPr>
      <t xml:space="preserve">(Fujian-Taiwan) vs UNESCO's China + Malaysia.</t>
    </r>
  </si>
  <si>
    <t xml:space="preserve">High for official framing.</t>
  </si>
  <si>
    <t xml:space="preserve">Chinese embassy websites (e.g. Cambodia, Malaysia, Kenya, Uzbekistan)</t>
  </si>
  <si>
    <t xml:space="preserve">Chinese government (diplomatic)</t>
  </si>
  <si>
    <t xml:space="preserve">https://kh.china-embassy.gov.cn/</t>
  </si>
  <si>
    <r>
      <rPr>
        <sz val="10"/>
        <rFont val="Arial"/>
        <family val="0"/>
        <charset val="1"/>
      </rPr>
      <t xml:space="preserve">Institutional engagement and narrative layers per host country: heritage exhibitions, restoration projects, ambassador essays on shared history, overseas-Chinese affairs (</t>
    </r>
    <r>
      <rPr>
        <sz val="10"/>
        <rFont val="Noto Sans CJK SC"/>
        <family val="2"/>
      </rPr>
      <t xml:space="preserve">领侨动态</t>
    </r>
    <r>
      <rPr>
        <sz val="10"/>
        <rFont val="Arial"/>
        <family val="0"/>
        <charset val="1"/>
      </rPr>
      <t xml:space="preserve">).</t>
    </r>
  </si>
  <si>
    <t xml:space="preserve">Chinese (most also English)</t>
  </si>
  <si>
    <t xml:space="preserve">Semi-structured. Common Foreign Ministry template on every *.china-embassy.gov.cn site; dated URLs (/column/YYYYMM/tYYYYMMDD_id.htm). Some list pages render by script.</t>
  </si>
  <si>
    <t xml:space="preserve">Scraping by dated URL pattern; search runs through a central Foreign Ministry engine (fmprc.gov.cn/irs-c-web/search.shtml) filterable by site. Some old URLs (pre-2013) now redirect to the homepage: use the Wayback Machine.</t>
  </si>
  <si>
    <t xml:space="preserve">Yes: Kenya archive back to 2005, Malaysia to 2012 in samples.</t>
  </si>
  <si>
    <r>
      <rPr>
        <sz val="10"/>
        <rFont val="Arial"/>
        <family val="0"/>
        <charset val="1"/>
      </rPr>
      <t xml:space="preserve">Heavy framing: 'civilisations learning from each other' (</t>
    </r>
    <r>
      <rPr>
        <sz val="10"/>
        <rFont val="Noto Sans CJK SC"/>
        <family val="2"/>
      </rPr>
      <t xml:space="preserve">互学互鉴</t>
    </r>
    <r>
      <rPr>
        <sz val="10"/>
        <rFont val="Arial"/>
        <family val="0"/>
        <charset val="1"/>
      </rPr>
      <t xml:space="preserve">), Zheng He as friendship, 'Silk Road spirit', 'community with a shared future'.</t>
    </r>
  </si>
  <si>
    <t xml:space="preserve">High for official narrative; low for facts on sites.</t>
  </si>
  <si>
    <r>
      <rPr>
        <sz val="10"/>
        <rFont val="Arial"/>
        <family val="0"/>
        <charset val="1"/>
      </rPr>
      <t xml:space="preserve">Chinese Academy of Cultural Heritage (</t>
    </r>
    <r>
      <rPr>
        <sz val="10"/>
        <rFont val="Noto Sans CJK SC"/>
        <family val="2"/>
      </rPr>
      <t xml:space="preserve">中国文化遗产研究院</t>
    </r>
    <r>
      <rPr>
        <sz val="10"/>
        <rFont val="Arial"/>
        <family val="0"/>
        <charset val="1"/>
      </rPr>
      <t xml:space="preserve">, CACH)</t>
    </r>
  </si>
  <si>
    <t xml:space="preserve">Chinese government research institute (under NCHA)</t>
  </si>
  <si>
    <t xml:space="preserve">https://www.chinanews.com.cn/gj/2022/08-29/9839659.shtml</t>
  </si>
  <si>
    <t xml:space="preserve">Institutional engagement: lead agency for aid restoration (Angkor Chau Say Tevoda 1998, Ta Keo 2010, Royal Palace 2018).</t>
  </si>
  <si>
    <t xml:space="preserve">Own site not yet tested; project information mostly via NCHA and media interviews.</t>
  </si>
  <si>
    <t xml:space="preserve">To test in Phase 2.</t>
  </si>
  <si>
    <t xml:space="preserve">Yes: project history since 1990s.</t>
  </si>
  <si>
    <t xml:space="preserve">Frames Angkor work as China being among the earliest participants in UNESCO's international safeguarding campaign.</t>
  </si>
  <si>
    <t xml:space="preserve">High.</t>
  </si>
  <si>
    <r>
      <rPr>
        <sz val="10"/>
        <rFont val="Arial"/>
        <family val="0"/>
        <charset val="1"/>
      </rPr>
      <t xml:space="preserve">CASS Institute of Archaeology (</t>
    </r>
    <r>
      <rPr>
        <sz val="10"/>
        <rFont val="Noto Sans CJK SC"/>
        <family val="2"/>
      </rPr>
      <t xml:space="preserve">中国社会科学院考古研究所</t>
    </r>
    <r>
      <rPr>
        <sz val="10"/>
        <rFont val="Arial"/>
        <family val="0"/>
        <charset val="1"/>
      </rPr>
      <t xml:space="preserve">) and cssn.cn</t>
    </r>
  </si>
  <si>
    <t xml:space="preserve">Chinese state research institute</t>
  </si>
  <si>
    <t xml:space="preserve">https://www.cssn.cn/skgz/bwyc/202605/t20260522_5992725.shtml</t>
  </si>
  <si>
    <r>
      <rPr>
        <sz val="10"/>
        <rFont val="Arial"/>
        <family val="0"/>
        <charset val="1"/>
      </rPr>
      <t xml:space="preserve">Joint archaeology abroad: Uzbekistan (2012-), Honduras Copan (2015-), Egypt Monthu Temple (2018-), Romania (2019-), Greece (2026). 2026 catalogue </t>
    </r>
    <r>
      <rPr>
        <sz val="10"/>
        <rFont val="Noto Sans CJK SC"/>
        <family val="2"/>
      </rPr>
      <t xml:space="preserve">《大道东风》 </t>
    </r>
    <r>
      <rPr>
        <sz val="10"/>
        <rFont val="Arial"/>
        <family val="0"/>
        <charset val="1"/>
      </rPr>
      <t xml:space="preserve">of overseas results.</t>
    </r>
  </si>
  <si>
    <t xml:space="preserve">Semi-structured: news and features on cssn.cn; excavation reports as books.</t>
  </si>
  <si>
    <t xml:space="preserve">Scraping of cssn.cn articles; reports need library access.</t>
  </si>
  <si>
    <t xml:space="preserve">Yes: projects dated from 2012.</t>
  </si>
  <si>
    <r>
      <rPr>
        <sz val="10"/>
        <rFont val="Arial"/>
        <family val="0"/>
        <charset val="1"/>
      </rPr>
      <t xml:space="preserve">'Independent knowledge system' (</t>
    </r>
    <r>
      <rPr>
        <sz val="10"/>
        <rFont val="Noto Sans CJK SC"/>
        <family val="2"/>
      </rPr>
      <t xml:space="preserve">自主知识体系</t>
    </r>
    <r>
      <rPr>
        <sz val="10"/>
        <rFont val="Arial"/>
        <family val="0"/>
        <charset val="1"/>
      </rPr>
      <t xml:space="preserve">); from 'archaeological power' to 'archaeological strength'.</t>
    </r>
  </si>
  <si>
    <t xml:space="preserve">High for project facts.</t>
  </si>
  <si>
    <t xml:space="preserve">Provincial and university archaeology teams (e.g. Shaanxi Institute of Archaeology, Northwest University, Peking University)</t>
  </si>
  <si>
    <t xml:space="preserve">Chinese research institutes / universities</t>
  </si>
  <si>
    <t xml:space="preserve">https://www.chinanews.com.cn/sh/2026/09-24/10703295.shtml</t>
  </si>
  <si>
    <t xml:space="preserve">Joint archaeology in Central Asia (Kyrgyzstan Red River site, Shaanxi) and East Africa (Kenya Lamu/Malindi, Peking University, c. 2010-2013).</t>
  </si>
  <si>
    <t xml:space="preserve">Chinese, some English</t>
  </si>
  <si>
    <t xml:space="preserve">Scattered: press releases, university news, academic papers.</t>
  </si>
  <si>
    <t xml:space="preserve">Manual; media search.</t>
  </si>
  <si>
    <t xml:space="preserve">Yes, via news archives.</t>
  </si>
  <si>
    <t xml:space="preserve">Kenya work framed around Zheng He's voyages and 'rewriting East African coast history'.</t>
  </si>
  <si>
    <t xml:space="preserve">Medium-high.</t>
  </si>
  <si>
    <r>
      <rPr>
        <sz val="10"/>
        <rFont val="Arial"/>
        <family val="0"/>
        <charset val="1"/>
      </rPr>
      <t xml:space="preserve">Alliance for Cultural Heritage in Asia (</t>
    </r>
    <r>
      <rPr>
        <sz val="10"/>
        <rFont val="Noto Sans CJK SC"/>
        <family val="2"/>
      </rPr>
      <t xml:space="preserve">亚洲文化遗产保护联盟</t>
    </r>
    <r>
      <rPr>
        <sz val="10"/>
        <rFont val="Arial"/>
        <family val="0"/>
        <charset val="1"/>
      </rPr>
      <t xml:space="preserve">, ACHA)</t>
    </r>
  </si>
  <si>
    <t xml:space="preserve">China-led multilateral body</t>
  </si>
  <si>
    <t xml:space="preserve">https://english.www.gov.cn/news/202304/25/content_WS6447673dc6d03ffcca6ec9ee.html</t>
  </si>
  <si>
    <t xml:space="preserve">Institutional engagement across Asia: 10 founding states (China, Armenia, Cambodia, DPRK, Iran, Kyrgyzstan, Pakistan, Syria, UAE, Yemen); roadmap includes Silk Roads archaeology, World Heritage nominations, restoration in Türkiye and Syria. NCHA's 2026 plan adds an 'Asian cultural heritage database'.</t>
  </si>
  <si>
    <t xml:space="preserve">Chinese, English</t>
  </si>
  <si>
    <t xml:space="preserve">No dedicated website found; information via NCHA and state media.</t>
  </si>
  <si>
    <t xml:space="preserve">Manual.</t>
  </si>
  <si>
    <t xml:space="preserve">From 2021 (dialogue) and 2023 (Xi'an conference).</t>
  </si>
  <si>
    <t xml:space="preserve">'Dialogue among civilizations'; Global Civilization Initiative.</t>
  </si>
  <si>
    <t xml:space="preserve">High for membership and plans.</t>
  </si>
  <si>
    <r>
      <rPr>
        <sz val="10"/>
        <rFont val="Arial"/>
        <family val="0"/>
        <charset val="1"/>
      </rPr>
      <t xml:space="preserve">Belt and Road portal (</t>
    </r>
    <r>
      <rPr>
        <sz val="10"/>
        <rFont val="Noto Sans CJK SC"/>
        <family val="2"/>
      </rPr>
      <t xml:space="preserve">中国一带一路网</t>
    </r>
    <r>
      <rPr>
        <sz val="10"/>
        <rFont val="Arial"/>
        <family val="0"/>
        <charset val="1"/>
      </rPr>
      <t xml:space="preserve">, yidaiyilu.gov.cn)</t>
    </r>
  </si>
  <si>
    <t xml:space="preserve">Chinese government (aggregator)</t>
  </si>
  <si>
    <t xml:space="preserve">https://www.yidaiyilu.gov.cn/</t>
  </si>
  <si>
    <t xml:space="preserve">Aggregates heritage and archaeology news framed under Belt and Road.</t>
  </si>
  <si>
    <t xml:space="preserve">Semi-structured news aggregator.</t>
  </si>
  <si>
    <t xml:space="preserve">Scraping; not yet tested.</t>
  </si>
  <si>
    <t xml:space="preserve">Yes, since 2017.</t>
  </si>
  <si>
    <t xml:space="preserve">Belt and Road framing by definition.</t>
  </si>
  <si>
    <t xml:space="preserve">Medium (secondary, republished).</t>
  </si>
  <si>
    <t xml:space="preserve">Overseas-Chinese institutions (Overseas Chinese History Museum of China; Jinan University Academy of Overseas Chinese Studies; China Federation of Returned Overseas Chinese)</t>
  </si>
  <si>
    <t xml:space="preserve">Chinese state museum / university / mass organisation</t>
  </si>
  <si>
    <t xml:space="preserve">https://hqhryj.jnu.edu.cn/5535/list.htm</t>
  </si>
  <si>
    <t xml:space="preserve">Historical Chinese presence layer: diaspora history, qiaopi, associations, temples abroad.</t>
  </si>
  <si>
    <r>
      <rPr>
        <sz val="10"/>
        <rFont val="Arial"/>
        <family val="0"/>
        <charset val="1"/>
      </rPr>
      <t xml:space="preserve">Weakly structured online. Jinan has a documentation centre and journals (</t>
    </r>
    <r>
      <rPr>
        <sz val="10"/>
        <rFont val="Noto Sans CJK SC"/>
        <family val="2"/>
      </rPr>
      <t xml:space="preserve">《东南亚研究》</t>
    </r>
    <r>
      <rPr>
        <sz val="10"/>
        <rFont val="Arial"/>
        <family val="0"/>
        <charset val="1"/>
      </rPr>
      <t xml:space="preserve">, </t>
    </r>
    <r>
      <rPr>
        <sz val="10"/>
        <rFont val="Noto Sans CJK SC"/>
        <family val="2"/>
      </rPr>
      <t xml:space="preserve">《海外华人研究》</t>
    </r>
    <r>
      <rPr>
        <sz val="10"/>
        <rFont val="Arial"/>
        <family val="0"/>
        <charset val="1"/>
      </rPr>
      <t xml:space="preserve">) but no open database found.</t>
    </r>
  </si>
  <si>
    <t xml:space="preserve">Manual; library access.</t>
  </si>
  <si>
    <t xml:space="preserve">Journal archives.</t>
  </si>
  <si>
    <t xml:space="preserve">Not yet sampled.</t>
  </si>
  <si>
    <t xml:space="preserve">Medium-high (scholarly).</t>
  </si>
  <si>
    <r>
      <rPr>
        <sz val="10"/>
        <rFont val="Arial"/>
        <family val="0"/>
        <charset val="1"/>
      </rPr>
      <t xml:space="preserve">CNKI (</t>
    </r>
    <r>
      <rPr>
        <sz val="10"/>
        <rFont val="Noto Sans CJK SC"/>
        <family val="2"/>
      </rPr>
      <t xml:space="preserve">中国知网</t>
    </r>
    <r>
      <rPr>
        <sz val="10"/>
        <rFont val="Arial"/>
        <family val="0"/>
        <charset val="1"/>
      </rPr>
      <t xml:space="preserve">) academic literature</t>
    </r>
  </si>
  <si>
    <t xml:space="preserve">Commercial database (Chinese scholarship)</t>
  </si>
  <si>
    <t xml:space="preserve">https://www.cnki.net/</t>
  </si>
  <si>
    <t xml:space="preserve">Chinese academic writing on overseas heritage, Maritime Silk Road, joint archaeology; useful for dating when terms emerge.</t>
  </si>
  <si>
    <t xml:space="preserve">Highly structured bibliographic records with dates.</t>
  </si>
  <si>
    <t xml:space="preserve">Subscription: check Columbia library access.</t>
  </si>
  <si>
    <t xml:space="preserve">Yes: decades of dated records.</t>
  </si>
  <si>
    <r>
      <rPr>
        <sz val="10"/>
        <rFont val="Arial"/>
        <family val="0"/>
        <charset val="1"/>
      </rPr>
      <t xml:space="preserve">Good for counting term frequency over time (e.g. </t>
    </r>
    <r>
      <rPr>
        <sz val="10"/>
        <rFont val="Noto Sans CJK SC"/>
        <family val="2"/>
      </rPr>
      <t xml:space="preserve">海上丝绸之路 </t>
    </r>
    <r>
      <rPr>
        <sz val="10"/>
        <rFont val="Arial"/>
        <family val="0"/>
        <charset val="1"/>
      </rPr>
      <t xml:space="preserve">since the 1980s).</t>
    </r>
  </si>
  <si>
    <t xml:space="preserve">High as a record of discourse.</t>
  </si>
  <si>
    <t xml:space="preserve">Date</t>
  </si>
  <si>
    <t xml:space="preserve">Actor</t>
  </si>
  <si>
    <t xml:space="preserve">Actor type</t>
  </si>
  <si>
    <t xml:space="preserve">Topic / site</t>
  </si>
  <si>
    <t xml:space="preserve">Original wording (verbatim)</t>
  </si>
  <si>
    <t xml:space="preserve">English gloss (my translation)</t>
  </si>
  <si>
    <t xml:space="preserve">Framing tags (my coding)</t>
  </si>
  <si>
    <t xml:space="preserve">2017-02-21</t>
  </si>
  <si>
    <t xml:space="preserve">NCHA (13th five-year plan)</t>
  </si>
  <si>
    <t xml:space="preserve">Government</t>
  </si>
  <si>
    <t xml:space="preserve">Maritime Silk Road nomination</t>
  </si>
  <si>
    <r>
      <rPr>
        <sz val="10"/>
        <rFont val="Noto Sans CJK SC"/>
        <family val="2"/>
      </rPr>
      <t xml:space="preserve">推进花山岩画文化景观、鼓浪屿</t>
    </r>
    <r>
      <rPr>
        <sz val="10"/>
        <rFont val="Arial"/>
        <family val="0"/>
        <charset val="1"/>
      </rPr>
      <t xml:space="preserve">·</t>
    </r>
    <r>
      <rPr>
        <sz val="10"/>
        <rFont val="Noto Sans CJK SC"/>
        <family val="2"/>
      </rPr>
      <t xml:space="preserve">历史国际社区、古泉州（刺桐）史迹、良渚遗址、海上丝绸之路保护与申遗工作，推动陆上丝绸之路其他廊道申遗。</t>
    </r>
  </si>
  <si>
    <t xml:space="preserve">Advance protection and nomination of ... Ancient Quanzhou (Zayton), Liangzhu, the Maritime Silk Road; push nomination of other land Silk Road corridors.</t>
  </si>
  <si>
    <t xml:space="preserve">Maritime Silk Road; nomination (domestic)</t>
  </si>
  <si>
    <t xml:space="preserve">http://www.ncha.gov.cn/art/2017/2/27/art_2237_43663.html</t>
  </si>
  <si>
    <t xml:space="preserve">Belt and Road heritage corridor</t>
  </si>
  <si>
    <t xml:space="preserve">增进与“一带一路”沿线国家及文化遗产国际组织的交流合作，建设“一带一路”文化遗产长廊。</t>
  </si>
  <si>
    <t xml:space="preserve">Increase exchange with Belt and Road countries and international heritage bodies; build a 'Belt and Road cultural heritage corridor'.</t>
  </si>
  <si>
    <t xml:space="preserve">Belt and Road</t>
  </si>
  <si>
    <t xml:space="preserve">2021-12-01</t>
  </si>
  <si>
    <t xml:space="preserve">NCHA (14th five-year plan)</t>
  </si>
  <si>
    <t xml:space="preserve">Aid restoration: Angkor, Nepal, Myanmar</t>
  </si>
  <si>
    <t xml:space="preserve">推进柬埔寨吴哥古迹、尼泊尔九层神庙、缅甸他冰瑜佛塔等文物保护修复合作项目，持续开展中外联合考古。</t>
  </si>
  <si>
    <t xml:space="preserve">Advance restoration cooperation at Angkor (Cambodia), the Nine-Storey Temple (Nepal) and Thatbyinnyu Temple (Myanmar); continue joint archaeology.</t>
  </si>
  <si>
    <t xml:space="preserve">Aid restoration; Belt and Road</t>
  </si>
  <si>
    <t xml:space="preserve">https://www.ndrc.gov.cn/fggz/fzzlgh/gjjzxgh/202112/t20211201_1306596.html</t>
  </si>
  <si>
    <t xml:space="preserve">2021-10-25</t>
  </si>
  <si>
    <t xml:space="preserve">NCHA (Asian Cultural Heritage Protection Action series)</t>
  </si>
  <si>
    <t xml:space="preserve">China-Cambodia history</t>
  </si>
  <si>
    <t xml:space="preserve">新的世纪，官方合作再次恢复，朝着构建人类命运共同体的新目标前进。</t>
  </si>
  <si>
    <t xml:space="preserve">In the new century, official cooperation has resumed, moving toward the new goal of building a community with a shared future for mankind.</t>
  </si>
  <si>
    <t xml:space="preserve">Shared history; community of shared future</t>
  </si>
  <si>
    <t xml:space="preserve">http://www.ncha.gov.cn/art/2021/10/25/art_722_171543.html</t>
  </si>
  <si>
    <t xml:space="preserve">2022-02-18</t>
  </si>
  <si>
    <t xml:space="preserve">NCHA news feature</t>
  </si>
  <si>
    <t xml:space="preserve">Aid restoration history (from Mongolia 1961 to Angkor)</t>
  </si>
  <si>
    <t xml:space="preserve">中国文物保护工作者持续为国际濒危文化遗产保护提供中国智慧和方案，让受损的不同文明的代表性建筑焕发光彩。</t>
  </si>
  <si>
    <t xml:space="preserve">Chinese heritage professionals keep providing 'Chinese wisdom and solutions' for endangered heritage worldwide, restoring landmark buildings of different civilisations.</t>
  </si>
  <si>
    <t xml:space="preserve">Chinese wisdom and solutions</t>
  </si>
  <si>
    <t xml:space="preserve">http://www.ncha.gov.cn/art/2022/2/18/art_722_173029.html</t>
  </si>
  <si>
    <t xml:space="preserve">2026-07-20</t>
  </si>
  <si>
    <t xml:space="preserve">NCHA (15th five-year plan)</t>
  </si>
  <si>
    <t xml:space="preserve">Transnational joint nominations</t>
  </si>
  <si>
    <t xml:space="preserve">规范跨省域联合申遗项目管理，持续推进海上丝绸之路、万里茶道、中埃水文遗产保护与跨国联合申遗前期工作。</t>
  </si>
  <si>
    <t xml:space="preserve">Continue preparatory work for protection and transnational joint nomination of the Maritime Silk Road, the Tea Road, and China-Egypt hydrological heritage.</t>
  </si>
  <si>
    <t xml:space="preserve">Maritime Silk Road; nomination (transnational)</t>
  </si>
  <si>
    <t xml:space="preserve">Heritage diplomacy</t>
  </si>
  <si>
    <t xml:space="preserve">拓展文物交流合作服务国家外交大局，立足文物资源优势，强化机制建设和项目带动，促进文明交流互鉴。</t>
  </si>
  <si>
    <t xml:space="preserve">Expand heritage exchange to serve the country's overall diplomatic agenda ... promote exchange and mutual learning among civilisations.</t>
  </si>
  <si>
    <t xml:space="preserve">Diplomacy; civilisational exchange</t>
  </si>
  <si>
    <t xml:space="preserve">健全文物援外机制，推进柬埔寨吴哥古迹、尼泊尔努瓦科特杜巴广场王宫、缅甸他冰瑜佛塔等文物古迹保护合作。</t>
  </si>
  <si>
    <t xml:space="preserve">Improve the heritage-aid mechanism; advance cooperation at Angkor, the Nuwakot Durbar Square palace (Nepal) and Thatbyinnyu Temple (Myanmar).</t>
  </si>
  <si>
    <t xml:space="preserve">Aid restoration</t>
  </si>
  <si>
    <t xml:space="preserve">Joint archaeology target regions</t>
  </si>
  <si>
    <r>
      <rPr>
        <sz val="10"/>
        <rFont val="Noto Sans CJK SC"/>
        <family val="2"/>
      </rPr>
      <t xml:space="preserve">开展南岛语族主要分布地区、环喜马拉雅地区、丝绸之路和海上丝绸之路沿线地区等联合考古，培育</t>
    </r>
    <r>
      <rPr>
        <sz val="10"/>
        <rFont val="Arial"/>
        <family val="0"/>
        <charset val="1"/>
      </rPr>
      <t xml:space="preserve">5—10</t>
    </r>
    <r>
      <rPr>
        <sz val="10"/>
        <rFont val="Noto Sans CJK SC"/>
        <family val="2"/>
      </rPr>
      <t xml:space="preserve">个示范项目。</t>
    </r>
  </si>
  <si>
    <t xml:space="preserve">Carry out joint archaeology in Austronesian areas, the Himalayas, and along the Silk Roads and Maritime Silk Road; develop 5-10 demonstration projects.</t>
  </si>
  <si>
    <t xml:space="preserve">Joint archaeology; Silk Roads; Maritime Silk Road</t>
  </si>
  <si>
    <t xml:space="preserve">Asian heritage database</t>
  </si>
  <si>
    <t xml:space="preserve">推动制定亚洲文化遗产保护准则与技术规范，建立亚洲文化遗产数据库与联合实验室。</t>
  </si>
  <si>
    <t xml:space="preserve">Promote Asian heritage conservation standards; build an Asian cultural heritage database and joint laboratories.</t>
  </si>
  <si>
    <t xml:space="preserve">Standards; data (possible future source)</t>
  </si>
  <si>
    <t xml:space="preserve">2026-09-24</t>
  </si>
  <si>
    <t xml:space="preserve">NCHA (joint archaeology results release)</t>
  </si>
  <si>
    <t xml:space="preserve">Egypt, Tunisia, Kyrgyzstan joint projects</t>
  </si>
  <si>
    <t xml:space="preserve">深入践行全球文明倡议，不断完善中外联合考古工作管理制度，积极支持中国考古机构、专家学者“走出去”。</t>
  </si>
  <si>
    <t xml:space="preserve">Put the Global Civilization Initiative into practice ... actively support Chinese archaeological institutions and scholars to 'go global'.</t>
  </si>
  <si>
    <t xml:space="preserve">Global Civilization Initiative; going global</t>
  </si>
  <si>
    <t xml:space="preserve">2026-05-22</t>
  </si>
  <si>
    <t xml:space="preserve">CASS (cssn.cn feature)</t>
  </si>
  <si>
    <t xml:space="preserve">Research institute</t>
  </si>
  <si>
    <t xml:space="preserve">Overseas archaeology programme</t>
  </si>
  <si>
    <t xml:space="preserve">中国考古不仅在走向世界，更在以自主知识体系深度介入不同文明的交流互鉴。</t>
  </si>
  <si>
    <t xml:space="preserve">Chinese archaeology is not only going global but engaging deeply in exchange between civilisations through its own independent knowledge system.</t>
  </si>
  <si>
    <t xml:space="preserve">Independent knowledge system</t>
  </si>
  <si>
    <t xml:space="preserve">2026-09-08</t>
  </si>
  <si>
    <t xml:space="preserve">Chinese Embassy in Cambodia (Amb. Wang Wenbin)</t>
  </si>
  <si>
    <t xml:space="preserve">Embassy</t>
  </si>
  <si>
    <t xml:space="preserve">China-Cambodia heritage exhibition; Angkor</t>
  </si>
  <si>
    <t xml:space="preserve">中华文明与高棉文明互学互鉴，相映生辉，谱写了世界文明美美与共的佳话。</t>
  </si>
  <si>
    <t xml:space="preserve">Chinese and Khmer civilisations have learned from each other and shone together, a model story of world civilisations' shared beauty.</t>
  </si>
  <si>
    <t xml:space="preserve">Civilisational exchange</t>
  </si>
  <si>
    <t xml:space="preserve">https://kh.china-embassy.gov.cn/dssghd/202609/t20260908_12018158.htm</t>
  </si>
  <si>
    <t xml:space="preserve">2016-10-28</t>
  </si>
  <si>
    <t xml:space="preserve">Chinese Embassy in Malaysia (ambassador's essay)</t>
  </si>
  <si>
    <t xml:space="preserve">Melaka; Zheng He</t>
  </si>
  <si>
    <r>
      <rPr>
        <sz val="10"/>
        <rFont val="Noto Sans CJK SC"/>
        <family val="2"/>
      </rPr>
      <t xml:space="preserve">明朝郑和七下西洋，其中</t>
    </r>
    <r>
      <rPr>
        <sz val="10"/>
        <rFont val="Arial"/>
        <family val="0"/>
        <charset val="1"/>
      </rPr>
      <t xml:space="preserve">5</t>
    </r>
    <r>
      <rPr>
        <sz val="10"/>
        <rFont val="Noto Sans CJK SC"/>
        <family val="2"/>
      </rPr>
      <t xml:space="preserve">次驻节马六甲，在加深两国人民友谊的同时，更有力维护了周边地区近百年的和平与繁荣。</t>
    </r>
  </si>
  <si>
    <t xml:space="preserve">Zheng He's seven voyages included five stays in Melaka, deepening friendship and maintaining nearly a century of regional peace and prosperity.</t>
  </si>
  <si>
    <t xml:space="preserve">Zheng He; peace narrative; Maritime Silk Road</t>
  </si>
  <si>
    <t xml:space="preserve">https://my.china-embassy.gov.cn/sgxx/dsjh/201611/t20161105_1790289.htm</t>
  </si>
  <si>
    <t xml:space="preserve">Chinese community in Malaysia</t>
  </si>
  <si>
    <t xml:space="preserve">近代以来，大批华人南下定居马来西亚，经世代交替，始终与当地人民和谐相处、共存共荣，华人文化传统已与马来西亚历史发展进程深深融合。</t>
  </si>
  <si>
    <t xml:space="preserve">Large numbers of Chinese settled in Malaysia in modern times ... Chinese cultural traditions have deeply merged with Malaysia's historical development.</t>
  </si>
  <si>
    <t xml:space="preserve">Diaspora; integration</t>
  </si>
  <si>
    <t xml:space="preserve">2024-02-23</t>
  </si>
  <si>
    <t xml:space="preserve">Chinese Embassy in Kenya (Amb. Zhou Pingjian)</t>
  </si>
  <si>
    <t xml:space="preserve">Lamu, Malindi, Mombasa; Zheng He</t>
  </si>
  <si>
    <t xml:space="preserve">肯尼亚是中华文明与非洲文明最早交汇地之一，拉穆、马林迪、蒙巴萨等滨海地区至今流传着郑和船队的友好佳话。</t>
  </si>
  <si>
    <t xml:space="preserve">Kenya is one of the earliest meeting places of Chinese and African civilisations; coastal Lamu, Malindi and Mombasa still tell stories of Zheng He's fleet.</t>
  </si>
  <si>
    <t xml:space="preserve">Zheng He; Silk Road spirit</t>
  </si>
  <si>
    <t xml:space="preserve">https://ke.china-embassy.gov.cn/sgxx/dszs_145423/202402/t20240223_11249135.htm</t>
  </si>
  <si>
    <t xml:space="preserve">2006 (listed)</t>
  </si>
  <si>
    <t xml:space="preserve">ihchina national ICH list: Nanyin (Quanzhou)</t>
  </si>
  <si>
    <t xml:space="preserve">Government-affiliated database</t>
  </si>
  <si>
    <t xml:space="preserve">Nanyin in Southeast Asia</t>
  </si>
  <si>
    <t xml:space="preserve">泉州南音还流播到菲律宾、印尼、新加坡、马来西亚、泰国、缅甸、越南等国家，成为维系海外侨胞和台湾同胞乡情的精神纽带，对增进民族认同感也起到了积极作用。</t>
  </si>
  <si>
    <t xml:space="preserve">Nanyin spread to the Philippines, Indonesia, Singapore, Malaysia, Thailand, Myanmar and Vietnam, becoming a spiritual bond for overseas compatriots and Taiwan compatriots, and strengthening national identity.</t>
  </si>
  <si>
    <t xml:space="preserve">Diaspora; national identity</t>
  </si>
  <si>
    <t xml:space="preserve">ihchina national ICH list: Mazu rituals (Putian)</t>
  </si>
  <si>
    <t xml:space="preserve">Mazu temples worldwide</t>
  </si>
  <si>
    <t xml:space="preserve">妈祖文化逐步传播至我国的沿江、沿海和台港澳地区，并随着华侨华人的脚印逐步传播到世界上的五大洲二十多个国家。</t>
  </si>
  <si>
    <t xml:space="preserve">Mazu culture spread along China's rivers and coasts and to Taiwan, Hong Kong and Macao, and followed the footsteps of overseas Chinese to over 20 countries on five continents.</t>
  </si>
  <si>
    <t xml:space="preserve">2011 (listed)</t>
  </si>
  <si>
    <t xml:space="preserve">ihchina national ICH list: Mazu rituals (Dongtou)</t>
  </si>
  <si>
    <t xml:space="preserve">Mazu and cross-Strait relations</t>
  </si>
  <si>
    <t xml:space="preserve">妈祖信仰是海峡两岸关系重要的桥梁和纽带，是大陆和台湾文化交融的平台，对于促进祖国统一具有积极意义。</t>
  </si>
  <si>
    <t xml:space="preserve">Mazu belief is an important bridge for cross-Strait relations ... and positive for promoting national reunification.</t>
  </si>
  <si>
    <t xml:space="preserve">Cross-Strait; reunification</t>
  </si>
  <si>
    <r>
      <rPr>
        <sz val="10"/>
        <rFont val="Arial"/>
        <family val="0"/>
        <charset val="1"/>
      </rPr>
      <t xml:space="preserve">ihchina national ICH list: </t>
    </r>
    <r>
      <rPr>
        <sz val="10"/>
        <rFont val="Noto Sans CJK SC"/>
        <family val="2"/>
      </rPr>
      <t xml:space="preserve">民间信俗（闽台送王船）</t>
    </r>
  </si>
  <si>
    <t xml:space="preserve">Wangchuan ceremony (compare UNESCO 2020)</t>
  </si>
  <si>
    <t xml:space="preserve">“王爷”信仰广泛流传于闽南沿海及台湾渔村，尤其盛于南台湾，与中台湾的妈祖信仰并称。</t>
  </si>
  <si>
    <t xml:space="preserve">Wangye belief is widespread in southern Fujian coastal areas and Taiwanese fishing villages. National title frames it as Fujian-Taiwan; UNESCO's 2020 joint inscription frames it as China + Malaysia (Melaka).</t>
  </si>
  <si>
    <t xml:space="preserve">Cross-Strait vs diaspora framing</t>
  </si>
  <si>
    <t xml:space="preserve">Country</t>
  </si>
  <si>
    <t xml:space="preserve">Site</t>
  </si>
  <si>
    <t xml:space="preserve">Years</t>
  </si>
  <si>
    <t xml:space="preserve">Chinese institution</t>
  </si>
  <si>
    <t xml:space="preserve">Xingren Temple and Bogd Khan Palace (lama temples), Ulaanbaatar</t>
  </si>
  <si>
    <t xml:space="preserve">1959-1961</t>
  </si>
  <si>
    <t xml:space="preserve">Chinese experts Yu Mingqian and Li Zhujun</t>
  </si>
  <si>
    <t xml:space="preserve">Described by NCHA as the start of China's overseas heritage work.</t>
  </si>
  <si>
    <t xml:space="preserve">Cambodia</t>
  </si>
  <si>
    <t xml:space="preserve">Angkor: Chau Say Tevoda</t>
  </si>
  <si>
    <t xml:space="preserve">1998 (ten-year project)</t>
  </si>
  <si>
    <t xml:space="preserve">CACH</t>
  </si>
  <si>
    <t xml:space="preserve">Within UNESCO's International Coordinating Committee for Angkor.</t>
  </si>
  <si>
    <t xml:space="preserve">Angkor: Ta Keo</t>
  </si>
  <si>
    <t xml:space="preserve">2010 (eight-year project)</t>
  </si>
  <si>
    <t xml:space="preserve">Angkor: Royal Palace site</t>
  </si>
  <si>
    <t xml:space="preserve">2018 (signed)</t>
  </si>
  <si>
    <t xml:space="preserve">Named again in the 2026 plan.</t>
  </si>
  <si>
    <t xml:space="preserve">Nepal</t>
  </si>
  <si>
    <t xml:space="preserve">Nine-Storey Temple (Basantapur), Kathmandu</t>
  </si>
  <si>
    <t xml:space="preserve">Named in 2021 plan</t>
  </si>
  <si>
    <t xml:space="preserve">Not stated in sources read</t>
  </si>
  <si>
    <t xml:space="preserve">Kathmandu Valley World Heritage site.</t>
  </si>
  <si>
    <t xml:space="preserve">Nuwakot Durbar Square palace</t>
  </si>
  <si>
    <t xml:space="preserve">Named in 2026 plan</t>
  </si>
  <si>
    <t xml:space="preserve">Myanmar</t>
  </si>
  <si>
    <t xml:space="preserve">Thatbyinnyu Temple, Bagan</t>
  </si>
  <si>
    <t xml:space="preserve">Named in 2021 and 2026 plans</t>
  </si>
  <si>
    <t xml:space="preserve">Bagan World Heritage site.</t>
  </si>
  <si>
    <t xml:space="preserve">Uzbekistan</t>
  </si>
  <si>
    <t xml:space="preserve">Fergana Basin sites (Mingtepe, Monzatepe, Eratan)</t>
  </si>
  <si>
    <t xml:space="preserve">Joint archaeology</t>
  </si>
  <si>
    <t xml:space="preserve">2012-</t>
  </si>
  <si>
    <t xml:space="preserve">CASS Institute of Archaeology</t>
  </si>
  <si>
    <t xml:space="preserve">Silk Roads region.</t>
  </si>
  <si>
    <t xml:space="preserve">Honduras</t>
  </si>
  <si>
    <t xml:space="preserve">Copan Maya site</t>
  </si>
  <si>
    <t xml:space="preserve">2015-</t>
  </si>
  <si>
    <t xml:space="preserve">Non-Chinese-heritage site: comparison case.</t>
  </si>
  <si>
    <t xml:space="preserve">Egypt</t>
  </si>
  <si>
    <t xml:space="preserve">Monthu Temple, Karnak (Luxor)</t>
  </si>
  <si>
    <t xml:space="preserve">2018-</t>
  </si>
  <si>
    <t xml:space="preserve">Results released 2026-09-24.</t>
  </si>
  <si>
    <t xml:space="preserve">Romania</t>
  </si>
  <si>
    <t xml:space="preserve">Site reported as 'Dobrujavatz' (name to confirm)</t>
  </si>
  <si>
    <t xml:space="preserve">2019-</t>
  </si>
  <si>
    <t xml:space="preserve">Greece</t>
  </si>
  <si>
    <t xml:space="preserve">Angelokastro site (as reported)</t>
  </si>
  <si>
    <t xml:space="preserve">2026</t>
  </si>
  <si>
    <t xml:space="preserve">Tunisia</t>
  </si>
  <si>
    <t xml:space="preserve">Ben Arous forest site</t>
  </si>
  <si>
    <t xml:space="preserve">Results 2026</t>
  </si>
  <si>
    <t xml:space="preserve">NCHA Archaeological Research Center</t>
  </si>
  <si>
    <t xml:space="preserve">Carthaginian-Roman transition.</t>
  </si>
  <si>
    <t xml:space="preserve">Red River site, Chu valley</t>
  </si>
  <si>
    <t xml:space="preserve">Shaanxi Academy of Archaeology</t>
  </si>
  <si>
    <t xml:space="preserve">Silk Roads region (near the Chang'an-Tianshan corridor).</t>
  </si>
  <si>
    <t xml:space="preserve">Kenya</t>
  </si>
  <si>
    <t xml:space="preserve">Lamu archipelago and Malindi</t>
  </si>
  <si>
    <t xml:space="preserve">c. 2010-2013 (reported)</t>
  </si>
  <si>
    <t xml:space="preserve">Peking University (per media reports)</t>
  </si>
  <si>
    <t xml:space="preserve">Framed around Zheng He's voyages; secondary sources only so far.</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</si>
</sst>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1"/>
      <color rgb="FFFFFFFF"/>
      <name val="Arial"/>
      <family val="0"/>
      <charset val="1"/>
    </font>
    <font>
      <sz val="10"/>
      <name val="Noto Sans CJK SC"/>
      <family val="2"/>
    </font>
    <font>
      <u val="single"/>
      <sz val="10"/>
      <color rgb="FF0563C1"/>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hc.unesco.org/en/list/437/" TargetMode="External"/><Relationship Id="rId2" Type="http://schemas.openxmlformats.org/officeDocument/2006/relationships/hyperlink" Target="https://whc.unesco.org/en/list/437/documents/" TargetMode="External"/><Relationship Id="rId3" Type="http://schemas.openxmlformats.org/officeDocument/2006/relationships/hyperlink" Target="https://whc.unesco.org/en/list/438/" TargetMode="External"/><Relationship Id="rId4" Type="http://schemas.openxmlformats.org/officeDocument/2006/relationships/hyperlink" Target="https://whc.unesco.org/en/list/438/documents/" TargetMode="External"/><Relationship Id="rId5" Type="http://schemas.openxmlformats.org/officeDocument/2006/relationships/hyperlink" Target="https://whc.unesco.org/en/list/439/" TargetMode="External"/><Relationship Id="rId6" Type="http://schemas.openxmlformats.org/officeDocument/2006/relationships/hyperlink" Target="https://whc.unesco.org/en/list/439/documents/" TargetMode="External"/><Relationship Id="rId7" Type="http://schemas.openxmlformats.org/officeDocument/2006/relationships/hyperlink" Target="https://whc.unesco.org/en/list/440/" TargetMode="External"/><Relationship Id="rId8" Type="http://schemas.openxmlformats.org/officeDocument/2006/relationships/hyperlink" Target="https://whc.unesco.org/en/list/440/documents/" TargetMode="External"/><Relationship Id="rId9" Type="http://schemas.openxmlformats.org/officeDocument/2006/relationships/hyperlink" Target="https://whc.unesco.org/en/list/441/" TargetMode="External"/><Relationship Id="rId10" Type="http://schemas.openxmlformats.org/officeDocument/2006/relationships/hyperlink" Target="https://whc.unesco.org/en/list/441/documents/" TargetMode="External"/><Relationship Id="rId11" Type="http://schemas.openxmlformats.org/officeDocument/2006/relationships/hyperlink" Target="https://whc.unesco.org/en/list/449/" TargetMode="External"/><Relationship Id="rId12" Type="http://schemas.openxmlformats.org/officeDocument/2006/relationships/hyperlink" Target="https://whc.unesco.org/en/list/449/documents/" TargetMode="External"/><Relationship Id="rId13" Type="http://schemas.openxmlformats.org/officeDocument/2006/relationships/hyperlink" Target="https://whc.unesco.org/en/list/547/" TargetMode="External"/><Relationship Id="rId14" Type="http://schemas.openxmlformats.org/officeDocument/2006/relationships/hyperlink" Target="https://whc.unesco.org/en/list/547/documents/" TargetMode="External"/><Relationship Id="rId15" Type="http://schemas.openxmlformats.org/officeDocument/2006/relationships/hyperlink" Target="https://whc.unesco.org/en/list/637/" TargetMode="External"/><Relationship Id="rId16" Type="http://schemas.openxmlformats.org/officeDocument/2006/relationships/hyperlink" Target="https://whc.unesco.org/en/list/637/documents/" TargetMode="External"/><Relationship Id="rId17" Type="http://schemas.openxmlformats.org/officeDocument/2006/relationships/hyperlink" Target="https://whc.unesco.org/en/list/638/" TargetMode="External"/><Relationship Id="rId18" Type="http://schemas.openxmlformats.org/officeDocument/2006/relationships/hyperlink" Target="https://whc.unesco.org/en/list/638/documents/" TargetMode="External"/><Relationship Id="rId19" Type="http://schemas.openxmlformats.org/officeDocument/2006/relationships/hyperlink" Target="https://whc.unesco.org/en/list/640/" TargetMode="External"/><Relationship Id="rId20" Type="http://schemas.openxmlformats.org/officeDocument/2006/relationships/hyperlink" Target="https://whc.unesco.org/en/list/640/documents/" TargetMode="External"/><Relationship Id="rId21" Type="http://schemas.openxmlformats.org/officeDocument/2006/relationships/hyperlink" Target="https://whc.unesco.org/en/list/703/" TargetMode="External"/><Relationship Id="rId22" Type="http://schemas.openxmlformats.org/officeDocument/2006/relationships/hyperlink" Target="https://whc.unesco.org/en/list/703/documents/" TargetMode="External"/><Relationship Id="rId23" Type="http://schemas.openxmlformats.org/officeDocument/2006/relationships/hyperlink" Target="https://whc.unesco.org/en/list/704/" TargetMode="External"/><Relationship Id="rId24" Type="http://schemas.openxmlformats.org/officeDocument/2006/relationships/hyperlink" Target="https://whc.unesco.org/en/list/704/documents/" TargetMode="External"/><Relationship Id="rId25" Type="http://schemas.openxmlformats.org/officeDocument/2006/relationships/hyperlink" Target="https://whc.unesco.org/en/list/705/" TargetMode="External"/><Relationship Id="rId26" Type="http://schemas.openxmlformats.org/officeDocument/2006/relationships/hyperlink" Target="https://whc.unesco.org/en/list/705/documents/" TargetMode="External"/><Relationship Id="rId27" Type="http://schemas.openxmlformats.org/officeDocument/2006/relationships/hyperlink" Target="https://whc.unesco.org/en/list/707/" TargetMode="External"/><Relationship Id="rId28" Type="http://schemas.openxmlformats.org/officeDocument/2006/relationships/hyperlink" Target="https://whc.unesco.org/en/list/707/documents/" TargetMode="External"/><Relationship Id="rId29" Type="http://schemas.openxmlformats.org/officeDocument/2006/relationships/hyperlink" Target="https://whc.unesco.org/en/list/778/" TargetMode="External"/><Relationship Id="rId30" Type="http://schemas.openxmlformats.org/officeDocument/2006/relationships/hyperlink" Target="https://whc.unesco.org/en/list/778/documents/" TargetMode="External"/><Relationship Id="rId31" Type="http://schemas.openxmlformats.org/officeDocument/2006/relationships/hyperlink" Target="https://whc.unesco.org/en/list/779/" TargetMode="External"/><Relationship Id="rId32" Type="http://schemas.openxmlformats.org/officeDocument/2006/relationships/hyperlink" Target="https://whc.unesco.org/en/list/779/documents/" TargetMode="External"/><Relationship Id="rId33" Type="http://schemas.openxmlformats.org/officeDocument/2006/relationships/hyperlink" Target="https://whc.unesco.org/en/list/811/" TargetMode="External"/><Relationship Id="rId34" Type="http://schemas.openxmlformats.org/officeDocument/2006/relationships/hyperlink" Target="https://whc.unesco.org/en/list/811/documents/" TargetMode="External"/><Relationship Id="rId35" Type="http://schemas.openxmlformats.org/officeDocument/2006/relationships/hyperlink" Target="https://whc.unesco.org/en/list/812/" TargetMode="External"/><Relationship Id="rId36" Type="http://schemas.openxmlformats.org/officeDocument/2006/relationships/hyperlink" Target="https://whc.unesco.org/en/list/812/documents/" TargetMode="External"/><Relationship Id="rId37" Type="http://schemas.openxmlformats.org/officeDocument/2006/relationships/hyperlink" Target="https://whc.unesco.org/en/list/813/" TargetMode="External"/><Relationship Id="rId38" Type="http://schemas.openxmlformats.org/officeDocument/2006/relationships/hyperlink" Target="https://whc.unesco.org/en/list/813/documents/" TargetMode="External"/><Relationship Id="rId39" Type="http://schemas.openxmlformats.org/officeDocument/2006/relationships/hyperlink" Target="https://whc.unesco.org/en/list/880/" TargetMode="External"/><Relationship Id="rId40" Type="http://schemas.openxmlformats.org/officeDocument/2006/relationships/hyperlink" Target="https://whc.unesco.org/en/list/880/documents/" TargetMode="External"/><Relationship Id="rId41" Type="http://schemas.openxmlformats.org/officeDocument/2006/relationships/hyperlink" Target="https://whc.unesco.org/en/list/881/" TargetMode="External"/><Relationship Id="rId42" Type="http://schemas.openxmlformats.org/officeDocument/2006/relationships/hyperlink" Target="https://whc.unesco.org/en/list/881/documents/" TargetMode="External"/><Relationship Id="rId43" Type="http://schemas.openxmlformats.org/officeDocument/2006/relationships/hyperlink" Target="https://whc.unesco.org/en/list/911/" TargetMode="External"/><Relationship Id="rId44" Type="http://schemas.openxmlformats.org/officeDocument/2006/relationships/hyperlink" Target="https://whc.unesco.org/en/list/911/documents/" TargetMode="External"/><Relationship Id="rId45" Type="http://schemas.openxmlformats.org/officeDocument/2006/relationships/hyperlink" Target="https://whc.unesco.org/en/list/912/" TargetMode="External"/><Relationship Id="rId46" Type="http://schemas.openxmlformats.org/officeDocument/2006/relationships/hyperlink" Target="https://whc.unesco.org/en/list/912/documents/" TargetMode="External"/><Relationship Id="rId47" Type="http://schemas.openxmlformats.org/officeDocument/2006/relationships/hyperlink" Target="https://whc.unesco.org/en/list/1001/" TargetMode="External"/><Relationship Id="rId48" Type="http://schemas.openxmlformats.org/officeDocument/2006/relationships/hyperlink" Target="https://whc.unesco.org/en/list/1001/documents/" TargetMode="External"/><Relationship Id="rId49" Type="http://schemas.openxmlformats.org/officeDocument/2006/relationships/hyperlink" Target="https://whc.unesco.org/en/list/1002/" TargetMode="External"/><Relationship Id="rId50" Type="http://schemas.openxmlformats.org/officeDocument/2006/relationships/hyperlink" Target="https://whc.unesco.org/en/list/1002/documents/" TargetMode="External"/><Relationship Id="rId51" Type="http://schemas.openxmlformats.org/officeDocument/2006/relationships/hyperlink" Target="https://whc.unesco.org/en/list/1003/" TargetMode="External"/><Relationship Id="rId52" Type="http://schemas.openxmlformats.org/officeDocument/2006/relationships/hyperlink" Target="https://whc.unesco.org/en/list/1003/documents/" TargetMode="External"/><Relationship Id="rId53" Type="http://schemas.openxmlformats.org/officeDocument/2006/relationships/hyperlink" Target="https://whc.unesco.org/en/list/1004/" TargetMode="External"/><Relationship Id="rId54" Type="http://schemas.openxmlformats.org/officeDocument/2006/relationships/hyperlink" Target="https://whc.unesco.org/en/list/1004/documents/" TargetMode="External"/><Relationship Id="rId55" Type="http://schemas.openxmlformats.org/officeDocument/2006/relationships/hyperlink" Target="https://whc.unesco.org/en/list/1039/" TargetMode="External"/><Relationship Id="rId56" Type="http://schemas.openxmlformats.org/officeDocument/2006/relationships/hyperlink" Target="https://whc.unesco.org/en/list/1039/documents/" TargetMode="External"/><Relationship Id="rId57" Type="http://schemas.openxmlformats.org/officeDocument/2006/relationships/hyperlink" Target="https://whc.unesco.org/en/list/1083/" TargetMode="External"/><Relationship Id="rId58" Type="http://schemas.openxmlformats.org/officeDocument/2006/relationships/hyperlink" Target="https://whc.unesco.org/en/list/1083/documents/" TargetMode="External"/><Relationship Id="rId59" Type="http://schemas.openxmlformats.org/officeDocument/2006/relationships/hyperlink" Target="https://whc.unesco.org/en/list/1135/" TargetMode="External"/><Relationship Id="rId60" Type="http://schemas.openxmlformats.org/officeDocument/2006/relationships/hyperlink" Target="https://whc.unesco.org/en/list/1135/documents/" TargetMode="External"/><Relationship Id="rId61" Type="http://schemas.openxmlformats.org/officeDocument/2006/relationships/hyperlink" Target="https://whc.unesco.org/en/list/1110/" TargetMode="External"/><Relationship Id="rId62" Type="http://schemas.openxmlformats.org/officeDocument/2006/relationships/hyperlink" Target="https://whc.unesco.org/en/list/1110/documents/" TargetMode="External"/><Relationship Id="rId63" Type="http://schemas.openxmlformats.org/officeDocument/2006/relationships/hyperlink" Target="https://whc.unesco.org/en/list/1114/" TargetMode="External"/><Relationship Id="rId64" Type="http://schemas.openxmlformats.org/officeDocument/2006/relationships/hyperlink" Target="https://whc.unesco.org/en/list/1114/documents/" TargetMode="External"/><Relationship Id="rId65" Type="http://schemas.openxmlformats.org/officeDocument/2006/relationships/hyperlink" Target="https://whc.unesco.org/en/list/1213/" TargetMode="External"/><Relationship Id="rId66" Type="http://schemas.openxmlformats.org/officeDocument/2006/relationships/hyperlink" Target="https://whc.unesco.org/en/list/1213/documents/" TargetMode="External"/><Relationship Id="rId67" Type="http://schemas.openxmlformats.org/officeDocument/2006/relationships/hyperlink" Target="https://whc.unesco.org/en/list/1112/" TargetMode="External"/><Relationship Id="rId68" Type="http://schemas.openxmlformats.org/officeDocument/2006/relationships/hyperlink" Target="https://whc.unesco.org/en/list/1112/documents/" TargetMode="External"/><Relationship Id="rId69" Type="http://schemas.openxmlformats.org/officeDocument/2006/relationships/hyperlink" Target="https://whc.unesco.org/en/list/1248/" TargetMode="External"/><Relationship Id="rId70" Type="http://schemas.openxmlformats.org/officeDocument/2006/relationships/hyperlink" Target="https://whc.unesco.org/en/list/1248/documents/" TargetMode="External"/><Relationship Id="rId71" Type="http://schemas.openxmlformats.org/officeDocument/2006/relationships/hyperlink" Target="https://whc.unesco.org/en/list/1113/" TargetMode="External"/><Relationship Id="rId72" Type="http://schemas.openxmlformats.org/officeDocument/2006/relationships/hyperlink" Target="https://whc.unesco.org/en/list/1113/documents/" TargetMode="External"/><Relationship Id="rId73" Type="http://schemas.openxmlformats.org/officeDocument/2006/relationships/hyperlink" Target="https://whc.unesco.org/en/list/1292/" TargetMode="External"/><Relationship Id="rId74" Type="http://schemas.openxmlformats.org/officeDocument/2006/relationships/hyperlink" Target="https://whc.unesco.org/en/list/1292/documents/" TargetMode="External"/><Relationship Id="rId75" Type="http://schemas.openxmlformats.org/officeDocument/2006/relationships/hyperlink" Target="https://whc.unesco.org/en/list/1279/" TargetMode="External"/><Relationship Id="rId76" Type="http://schemas.openxmlformats.org/officeDocument/2006/relationships/hyperlink" Target="https://whc.unesco.org/en/list/1279/documents/" TargetMode="External"/><Relationship Id="rId77" Type="http://schemas.openxmlformats.org/officeDocument/2006/relationships/hyperlink" Target="https://whc.unesco.org/en/list/1305/" TargetMode="External"/><Relationship Id="rId78" Type="http://schemas.openxmlformats.org/officeDocument/2006/relationships/hyperlink" Target="https://whc.unesco.org/en/list/1305/documents/" TargetMode="External"/><Relationship Id="rId79" Type="http://schemas.openxmlformats.org/officeDocument/2006/relationships/hyperlink" Target="https://whc.unesco.org/en/list/1335/" TargetMode="External"/><Relationship Id="rId80" Type="http://schemas.openxmlformats.org/officeDocument/2006/relationships/hyperlink" Target="https://whc.unesco.org/en/list/1335/documents/" TargetMode="External"/><Relationship Id="rId81" Type="http://schemas.openxmlformats.org/officeDocument/2006/relationships/hyperlink" Target="https://whc.unesco.org/en/list/1334/" TargetMode="External"/><Relationship Id="rId82" Type="http://schemas.openxmlformats.org/officeDocument/2006/relationships/hyperlink" Target="https://whc.unesco.org/en/list/1334/documents/" TargetMode="External"/><Relationship Id="rId83" Type="http://schemas.openxmlformats.org/officeDocument/2006/relationships/hyperlink" Target="https://whc.unesco.org/en/list/1388/" TargetMode="External"/><Relationship Id="rId84" Type="http://schemas.openxmlformats.org/officeDocument/2006/relationships/hyperlink" Target="https://whc.unesco.org/en/list/1388/documents/" TargetMode="External"/><Relationship Id="rId85" Type="http://schemas.openxmlformats.org/officeDocument/2006/relationships/hyperlink" Target="https://whc.unesco.org/en/list/1389/" TargetMode="External"/><Relationship Id="rId86" Type="http://schemas.openxmlformats.org/officeDocument/2006/relationships/hyperlink" Target="https://whc.unesco.org/en/list/1389/documents/" TargetMode="External"/><Relationship Id="rId87" Type="http://schemas.openxmlformats.org/officeDocument/2006/relationships/hyperlink" Target="https://whc.unesco.org/en/list/1111/" TargetMode="External"/><Relationship Id="rId88" Type="http://schemas.openxmlformats.org/officeDocument/2006/relationships/hyperlink" Target="https://whc.unesco.org/en/list/1111/documents/" TargetMode="External"/><Relationship Id="rId89" Type="http://schemas.openxmlformats.org/officeDocument/2006/relationships/hyperlink" Target="https://whc.unesco.org/en/list/1414/" TargetMode="External"/><Relationship Id="rId90" Type="http://schemas.openxmlformats.org/officeDocument/2006/relationships/hyperlink" Target="https://whc.unesco.org/en/list/1414/documents/" TargetMode="External"/><Relationship Id="rId91" Type="http://schemas.openxmlformats.org/officeDocument/2006/relationships/hyperlink" Target="https://whc.unesco.org/en/list/1442/" TargetMode="External"/><Relationship Id="rId92" Type="http://schemas.openxmlformats.org/officeDocument/2006/relationships/hyperlink" Target="https://whc.unesco.org/en/list/1442/documents/" TargetMode="External"/><Relationship Id="rId93" Type="http://schemas.openxmlformats.org/officeDocument/2006/relationships/hyperlink" Target="https://whc.unesco.org/en/list/1443/" TargetMode="External"/><Relationship Id="rId94" Type="http://schemas.openxmlformats.org/officeDocument/2006/relationships/hyperlink" Target="https://whc.unesco.org/en/list/1443/documents/" TargetMode="External"/><Relationship Id="rId95" Type="http://schemas.openxmlformats.org/officeDocument/2006/relationships/hyperlink" Target="https://whc.unesco.org/en/list/1474/" TargetMode="External"/><Relationship Id="rId96" Type="http://schemas.openxmlformats.org/officeDocument/2006/relationships/hyperlink" Target="https://whc.unesco.org/en/list/1474/documents/" TargetMode="External"/><Relationship Id="rId97" Type="http://schemas.openxmlformats.org/officeDocument/2006/relationships/hyperlink" Target="https://whc.unesco.org/en/list/1508/" TargetMode="External"/><Relationship Id="rId98" Type="http://schemas.openxmlformats.org/officeDocument/2006/relationships/hyperlink" Target="https://whc.unesco.org/en/list/1508/documents/" TargetMode="External"/><Relationship Id="rId99" Type="http://schemas.openxmlformats.org/officeDocument/2006/relationships/hyperlink" Target="https://whc.unesco.org/en/list/1509/" TargetMode="External"/><Relationship Id="rId100" Type="http://schemas.openxmlformats.org/officeDocument/2006/relationships/hyperlink" Target="https://whc.unesco.org/en/list/1509/documents/" TargetMode="External"/><Relationship Id="rId101" Type="http://schemas.openxmlformats.org/officeDocument/2006/relationships/hyperlink" Target="https://whc.unesco.org/en/list/1540/" TargetMode="External"/><Relationship Id="rId102" Type="http://schemas.openxmlformats.org/officeDocument/2006/relationships/hyperlink" Target="https://whc.unesco.org/en/list/1540/documents/" TargetMode="External"/><Relationship Id="rId103" Type="http://schemas.openxmlformats.org/officeDocument/2006/relationships/hyperlink" Target="https://whc.unesco.org/en/list/1541/" TargetMode="External"/><Relationship Id="rId104" Type="http://schemas.openxmlformats.org/officeDocument/2006/relationships/hyperlink" Target="https://whc.unesco.org/en/list/1541/documents/" TargetMode="External"/><Relationship Id="rId105" Type="http://schemas.openxmlformats.org/officeDocument/2006/relationships/hyperlink" Target="https://whc.unesco.org/en/list/1559/" TargetMode="External"/><Relationship Id="rId106" Type="http://schemas.openxmlformats.org/officeDocument/2006/relationships/hyperlink" Target="https://whc.unesco.org/en/list/1559/documents/" TargetMode="External"/><Relationship Id="rId107" Type="http://schemas.openxmlformats.org/officeDocument/2006/relationships/hyperlink" Target="https://whc.unesco.org/en/list/1592/" TargetMode="External"/><Relationship Id="rId108" Type="http://schemas.openxmlformats.org/officeDocument/2006/relationships/hyperlink" Target="https://whc.unesco.org/en/list/1592/documents/" TargetMode="External"/><Relationship Id="rId109" Type="http://schemas.openxmlformats.org/officeDocument/2006/relationships/hyperlink" Target="https://whc.unesco.org/en/list/1606/" TargetMode="External"/><Relationship Id="rId110" Type="http://schemas.openxmlformats.org/officeDocument/2006/relationships/hyperlink" Target="https://whc.unesco.org/en/list/1606/documents/" TargetMode="External"/><Relationship Id="rId111" Type="http://schemas.openxmlformats.org/officeDocument/2006/relationships/hyperlink" Target="https://whc.unesco.org/en/list/1561/" TargetMode="External"/><Relationship Id="rId112" Type="http://schemas.openxmlformats.org/officeDocument/2006/relationships/hyperlink" Target="https://whc.unesco.org/en/list/1561/documents/" TargetMode="External"/><Relationship Id="rId113" Type="http://schemas.openxmlformats.org/officeDocument/2006/relationships/hyperlink" Target="https://whc.unesco.org/en/list/1665/" TargetMode="External"/><Relationship Id="rId114" Type="http://schemas.openxmlformats.org/officeDocument/2006/relationships/hyperlink" Target="https://whc.unesco.org/en/list/1665/documents/" TargetMode="External"/><Relationship Id="rId115" Type="http://schemas.openxmlformats.org/officeDocument/2006/relationships/hyperlink" Target="https://whc.unesco.org/en/list/1638/" TargetMode="External"/><Relationship Id="rId116" Type="http://schemas.openxmlformats.org/officeDocument/2006/relationships/hyperlink" Target="https://whc.unesco.org/en/list/1638/documents/" TargetMode="External"/><Relationship Id="rId117" Type="http://schemas.openxmlformats.org/officeDocument/2006/relationships/hyperlink" Target="https://whc.unesco.org/en/list/1714/" TargetMode="External"/><Relationship Id="rId118" Type="http://schemas.openxmlformats.org/officeDocument/2006/relationships/hyperlink" Target="https://whc.unesco.org/en/list/1714/documents/" TargetMode="External"/><Relationship Id="rId119" Type="http://schemas.openxmlformats.org/officeDocument/2006/relationships/hyperlink" Target="https://whc.unesco.org/en/list/1736/" TargetMode="External"/><Relationship Id="rId120" Type="http://schemas.openxmlformats.org/officeDocument/2006/relationships/hyperlink" Target="https://whc.unesco.org/en/list/1736/documents/" TargetMode="External"/><Relationship Id="rId121" Type="http://schemas.openxmlformats.org/officeDocument/2006/relationships/hyperlink" Target="https://whc.unesco.org/en/list/1765/" TargetMode="External"/><Relationship Id="rId122" Type="http://schemas.openxmlformats.org/officeDocument/2006/relationships/hyperlink" Target="https://whc.unesco.org/en/list/1765/documents/" TargetMode="External"/><Relationship Id="rId12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hc.unesco.org/en/tentativelists/105/" TargetMode="External"/><Relationship Id="rId2" Type="http://schemas.openxmlformats.org/officeDocument/2006/relationships/hyperlink" Target="https://whc.unesco.org/en/tentativelists/106/" TargetMode="External"/><Relationship Id="rId3" Type="http://schemas.openxmlformats.org/officeDocument/2006/relationships/hyperlink" Target="https://whc.unesco.org/en/tentativelists/107/" TargetMode="External"/><Relationship Id="rId4" Type="http://schemas.openxmlformats.org/officeDocument/2006/relationships/hyperlink" Target="https://whc.unesco.org/en/tentativelists/108/" TargetMode="External"/><Relationship Id="rId5" Type="http://schemas.openxmlformats.org/officeDocument/2006/relationships/hyperlink" Target="https://whc.unesco.org/en/tentativelists/1622/" TargetMode="External"/><Relationship Id="rId6" Type="http://schemas.openxmlformats.org/officeDocument/2006/relationships/hyperlink" Target="https://whc.unesco.org/en/tentativelists/1623/" TargetMode="External"/><Relationship Id="rId7" Type="http://schemas.openxmlformats.org/officeDocument/2006/relationships/hyperlink" Target="https://whc.unesco.org/en/tentativelists/1624/" TargetMode="External"/><Relationship Id="rId8" Type="http://schemas.openxmlformats.org/officeDocument/2006/relationships/hyperlink" Target="https://whc.unesco.org/en/tentativelists/1625/" TargetMode="External"/><Relationship Id="rId9" Type="http://schemas.openxmlformats.org/officeDocument/2006/relationships/hyperlink" Target="https://whc.unesco.org/en/tentativelists/1626/" TargetMode="External"/><Relationship Id="rId10" Type="http://schemas.openxmlformats.org/officeDocument/2006/relationships/hyperlink" Target="https://whc.unesco.org/en/tentativelists/1627/" TargetMode="External"/><Relationship Id="rId11" Type="http://schemas.openxmlformats.org/officeDocument/2006/relationships/hyperlink" Target="https://whc.unesco.org/en/tentativelists/1629/" TargetMode="External"/><Relationship Id="rId12" Type="http://schemas.openxmlformats.org/officeDocument/2006/relationships/hyperlink" Target="https://whc.unesco.org/en/tentativelists/1631/" TargetMode="External"/><Relationship Id="rId13" Type="http://schemas.openxmlformats.org/officeDocument/2006/relationships/hyperlink" Target="https://whc.unesco.org/en/tentativelists/1632/" TargetMode="External"/><Relationship Id="rId14" Type="http://schemas.openxmlformats.org/officeDocument/2006/relationships/hyperlink" Target="https://whc.unesco.org/en/tentativelists/1633/" TargetMode="External"/><Relationship Id="rId15" Type="http://schemas.openxmlformats.org/officeDocument/2006/relationships/hyperlink" Target="https://whc.unesco.org/en/tentativelists/1634/" TargetMode="External"/><Relationship Id="rId16" Type="http://schemas.openxmlformats.org/officeDocument/2006/relationships/hyperlink" Target="https://whc.unesco.org/en/tentativelists/5320/" TargetMode="External"/><Relationship Id="rId17" Type="http://schemas.openxmlformats.org/officeDocument/2006/relationships/hyperlink" Target="https://whc.unesco.org/en/tentativelists/5322/" TargetMode="External"/><Relationship Id="rId18" Type="http://schemas.openxmlformats.org/officeDocument/2006/relationships/hyperlink" Target="https://whc.unesco.org/en/tentativelists/5324/" TargetMode="External"/><Relationship Id="rId19" Type="http://schemas.openxmlformats.org/officeDocument/2006/relationships/hyperlink" Target="https://whc.unesco.org/en/tentativelists/5327/" TargetMode="External"/><Relationship Id="rId20" Type="http://schemas.openxmlformats.org/officeDocument/2006/relationships/hyperlink" Target="https://whc.unesco.org/en/tentativelists/5328/" TargetMode="External"/><Relationship Id="rId21" Type="http://schemas.openxmlformats.org/officeDocument/2006/relationships/hyperlink" Target="https://whc.unesco.org/en/tentativelists/5335/" TargetMode="External"/><Relationship Id="rId22" Type="http://schemas.openxmlformats.org/officeDocument/2006/relationships/hyperlink" Target="https://whc.unesco.org/en/tentativelists/5337/" TargetMode="External"/><Relationship Id="rId23" Type="http://schemas.openxmlformats.org/officeDocument/2006/relationships/hyperlink" Target="https://whc.unesco.org/en/tentativelists/5338/" TargetMode="External"/><Relationship Id="rId24" Type="http://schemas.openxmlformats.org/officeDocument/2006/relationships/hyperlink" Target="https://whc.unesco.org/en/tentativelists/5341/" TargetMode="External"/><Relationship Id="rId25" Type="http://schemas.openxmlformats.org/officeDocument/2006/relationships/hyperlink" Target="https://whc.unesco.org/en/tentativelists/5344/" TargetMode="External"/><Relationship Id="rId26" Type="http://schemas.openxmlformats.org/officeDocument/2006/relationships/hyperlink" Target="https://whc.unesco.org/en/tentativelists/5347/" TargetMode="External"/><Relationship Id="rId27" Type="http://schemas.openxmlformats.org/officeDocument/2006/relationships/hyperlink" Target="https://whc.unesco.org/en/tentativelists/5351/" TargetMode="External"/><Relationship Id="rId28" Type="http://schemas.openxmlformats.org/officeDocument/2006/relationships/hyperlink" Target="https://whc.unesco.org/en/tentativelists/5353/" TargetMode="External"/><Relationship Id="rId29" Type="http://schemas.openxmlformats.org/officeDocument/2006/relationships/hyperlink" Target="https://whc.unesco.org/en/tentativelists/5532/" TargetMode="External"/><Relationship Id="rId30" Type="http://schemas.openxmlformats.org/officeDocument/2006/relationships/hyperlink" Target="https://whc.unesco.org/en/tentativelists/5533/" TargetMode="External"/><Relationship Id="rId31" Type="http://schemas.openxmlformats.org/officeDocument/2006/relationships/hyperlink" Target="https://whc.unesco.org/en/tentativelists/5535/" TargetMode="External"/><Relationship Id="rId32" Type="http://schemas.openxmlformats.org/officeDocument/2006/relationships/hyperlink" Target="https://whc.unesco.org/en/tentativelists/5803/" TargetMode="External"/><Relationship Id="rId33" Type="http://schemas.openxmlformats.org/officeDocument/2006/relationships/hyperlink" Target="https://whc.unesco.org/en/tentativelists/5804/" TargetMode="External"/><Relationship Id="rId34" Type="http://schemas.openxmlformats.org/officeDocument/2006/relationships/hyperlink" Target="https://whc.unesco.org/en/tentativelists/5806/" TargetMode="External"/><Relationship Id="rId35" Type="http://schemas.openxmlformats.org/officeDocument/2006/relationships/hyperlink" Target="https://whc.unesco.org/en/tentativelists/5808/" TargetMode="External"/><Relationship Id="rId36" Type="http://schemas.openxmlformats.org/officeDocument/2006/relationships/hyperlink" Target="https://whc.unesco.org/en/tentativelists/5813/" TargetMode="External"/><Relationship Id="rId37" Type="http://schemas.openxmlformats.org/officeDocument/2006/relationships/hyperlink" Target="https://whc.unesco.org/en/tentativelists/5814/" TargetMode="External"/><Relationship Id="rId38" Type="http://schemas.openxmlformats.org/officeDocument/2006/relationships/hyperlink" Target="https://whc.unesco.org/en/tentativelists/5815/" TargetMode="External"/><Relationship Id="rId39" Type="http://schemas.openxmlformats.org/officeDocument/2006/relationships/hyperlink" Target="https://whc.unesco.org/en/tentativelists/5816/" TargetMode="External"/><Relationship Id="rId40" Type="http://schemas.openxmlformats.org/officeDocument/2006/relationships/hyperlink" Target="https://whc.unesco.org/en/tentativelists/5989/" TargetMode="External"/><Relationship Id="rId41" Type="http://schemas.openxmlformats.org/officeDocument/2006/relationships/hyperlink" Target="https://whc.unesco.org/en/tentativelists/5990/" TargetMode="External"/><Relationship Id="rId42" Type="http://schemas.openxmlformats.org/officeDocument/2006/relationships/hyperlink" Target="https://whc.unesco.org/en/tentativelists/5992/" TargetMode="External"/><Relationship Id="rId43" Type="http://schemas.openxmlformats.org/officeDocument/2006/relationships/hyperlink" Target="https://whc.unesco.org/en/tentativelists/5993/" TargetMode="External"/><Relationship Id="rId44" Type="http://schemas.openxmlformats.org/officeDocument/2006/relationships/hyperlink" Target="https://whc.unesco.org/en/tentativelists/5994/" TargetMode="External"/><Relationship Id="rId45" Type="http://schemas.openxmlformats.org/officeDocument/2006/relationships/hyperlink" Target="https://whc.unesco.org/en/tentativelists/5995/" TargetMode="External"/><Relationship Id="rId46" Type="http://schemas.openxmlformats.org/officeDocument/2006/relationships/hyperlink" Target="https://whc.unesco.org/en/tentativelists/6093/" TargetMode="External"/><Relationship Id="rId47" Type="http://schemas.openxmlformats.org/officeDocument/2006/relationships/hyperlink" Target="https://whc.unesco.org/en/tentativelists/6184/" TargetMode="External"/><Relationship Id="rId48" Type="http://schemas.openxmlformats.org/officeDocument/2006/relationships/hyperlink" Target="https://whc.unesco.org/en/tentativelists/6185/" TargetMode="External"/><Relationship Id="rId49" Type="http://schemas.openxmlformats.org/officeDocument/2006/relationships/hyperlink" Target="https://whc.unesco.org/en/tentativelists/6186/" TargetMode="External"/><Relationship Id="rId50" Type="http://schemas.openxmlformats.org/officeDocument/2006/relationships/hyperlink" Target="https://whc.unesco.org/en/tentativelists/6187/" TargetMode="External"/><Relationship Id="rId51" Type="http://schemas.openxmlformats.org/officeDocument/2006/relationships/hyperlink" Target="https://whc.unesco.org/en/tentativelists/6188/" TargetMode="External"/><Relationship Id="rId52" Type="http://schemas.openxmlformats.org/officeDocument/2006/relationships/hyperlink" Target="https://whc.unesco.org/en/tentativelists/6190/" TargetMode="External"/><Relationship Id="rId53" Type="http://schemas.openxmlformats.org/officeDocument/2006/relationships/hyperlink" Target="https://whc.unesco.org/en/tentativelists/6380/" TargetMode="External"/><Relationship Id="rId54" Type="http://schemas.openxmlformats.org/officeDocument/2006/relationships/hyperlink" Target="https://whc.unesco.org/en/tentativelists/6381/" TargetMode="External"/><Relationship Id="rId55" Type="http://schemas.openxmlformats.org/officeDocument/2006/relationships/hyperlink" Target="https://whc.unesco.org/en/tentativelists/6582/" TargetMode="External"/><Relationship Id="rId56" Type="http://schemas.openxmlformats.org/officeDocument/2006/relationships/hyperlink" Target="https://whc.unesco.org/en/tentativelists/6619/" TargetMode="External"/><Relationship Id="rId57" Type="http://schemas.openxmlformats.org/officeDocument/2006/relationships/hyperlink" Target="https://whc.unesco.org/en/tentativelists/6768/" TargetMode="External"/><Relationship Id="rId58" Type="http://schemas.openxmlformats.org/officeDocument/2006/relationships/hyperlink" Target="https://whc.unesco.org/en/tentativelists/6840/" TargetMode="External"/><Relationship Id="rId59" Type="http://schemas.openxmlformats.org/officeDocument/2006/relationships/hyperlink" Target="https://whc.unesco.org/en/tentativelists/6841/" TargetMode="External"/><Relationship Id="rId60" Type="http://schemas.openxmlformats.org/officeDocument/2006/relationships/hyperlink" Target="https://whc.unesco.org/en/tentativelists/7021/" TargetMode="External"/><Relationship Id="rId6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hc.unesco.org/en/list/1223/" TargetMode="External"/><Relationship Id="rId2" Type="http://schemas.openxmlformats.org/officeDocument/2006/relationships/hyperlink" Target="https://whc.unesco.org/en/list/948/" TargetMode="External"/><Relationship Id="rId3" Type="http://schemas.openxmlformats.org/officeDocument/2006/relationships/hyperlink" Target="https://whc.unesco.org/en/list/1610/" TargetMode="External"/><Relationship Id="rId4" Type="http://schemas.openxmlformats.org/officeDocument/2006/relationships/hyperlink" Target="https://whc.unesco.org/en/list/502/" TargetMode="External"/><Relationship Id="rId5" Type="http://schemas.openxmlformats.org/officeDocument/2006/relationships/hyperlink" Target="https://whc.unesco.org/en/list/677/" TargetMode="External"/><Relationship Id="rId6" Type="http://schemas.openxmlformats.org/officeDocument/2006/relationships/hyperlink" Target="https://whc.unesco.org/en/list/1328/" TargetMode="External"/><Relationship Id="rId7" Type="http://schemas.openxmlformats.org/officeDocument/2006/relationships/hyperlink" Target="https://whc.unesco.org/en/list/1091/" TargetMode="External"/><Relationship Id="rId8" Type="http://schemas.openxmlformats.org/officeDocument/2006/relationships/hyperlink" Target="https://whc.unesco.org/en/list/1537/" TargetMode="External"/><Relationship Id="rId9" Type="http://schemas.openxmlformats.org/officeDocument/2006/relationships/hyperlink" Target="https://whc.unesco.org/en/list/144/" TargetMode="External"/><Relationship Id="rId10" Type="http://schemas.openxmlformats.org/officeDocument/2006/relationships/hyperlink" Target="https://whc.unesco.org/en/list/365/" TargetMode="External"/><Relationship Id="rId11" Type="http://schemas.openxmlformats.org/officeDocument/2006/relationships/hyperlink" Target="https://whc.unesco.org/en/list/1246/" TargetMode="External"/><Relationship Id="rId12" Type="http://schemas.openxmlformats.org/officeDocument/2006/relationships/hyperlink" Target="https://whc.unesco.org/en/list/972/" TargetMode="External"/><Relationship Id="rId13" Type="http://schemas.openxmlformats.org/officeDocument/2006/relationships/hyperlink" Target="https://whc.unesco.org/en/list/660/" TargetMode="External"/><Relationship Id="rId14" Type="http://schemas.openxmlformats.org/officeDocument/2006/relationships/hyperlink" Target="https://whc.unesco.org/en/list/688/" TargetMode="External"/><Relationship Id="rId15" Type="http://schemas.openxmlformats.org/officeDocument/2006/relationships/hyperlink" Target="https://whc.unesco.org/en/list/870/" TargetMode="External"/><Relationship Id="rId16" Type="http://schemas.openxmlformats.org/officeDocument/2006/relationships/hyperlink" Target="https://whc.unesco.org/en/list/1142/" TargetMode="External"/><Relationship Id="rId17" Type="http://schemas.openxmlformats.org/officeDocument/2006/relationships/hyperlink" Target="https://whc.unesco.org/en/list/1757/" TargetMode="External"/><Relationship Id="rId18" Type="http://schemas.openxmlformats.org/officeDocument/2006/relationships/hyperlink" Target="https://whc.unesco.org/en/list/1477/" TargetMode="External"/><Relationship Id="rId19" Type="http://schemas.openxmlformats.org/officeDocument/2006/relationships/hyperlink" Target="https://whc.unesco.org/en/list/1498/" TargetMode="External"/><Relationship Id="rId20" Type="http://schemas.openxmlformats.org/officeDocument/2006/relationships/hyperlink" Target="https://whc.unesco.org/en/list/1439/" TargetMode="External"/><Relationship Id="rId21" Type="http://schemas.openxmlformats.org/officeDocument/2006/relationships/hyperlink" Target="https://whc.unesco.org/en/list/559/" TargetMode="External"/><Relationship Id="rId22" Type="http://schemas.openxmlformats.org/officeDocument/2006/relationships/hyperlink" Target="https://whc.unesco.org/en/list/1759/" TargetMode="External"/><Relationship Id="rId23" Type="http://schemas.openxmlformats.org/officeDocument/2006/relationships/hyperlink" Target="https://whc.unesco.org/en/list/1675/" TargetMode="External"/><Relationship Id="rId24" Type="http://schemas.openxmlformats.org/officeDocument/2006/relationships/hyperlink" Target="https://whc.unesco.org/en/list/1346/" TargetMode="External"/><Relationship Id="rId25" Type="http://schemas.openxmlformats.org/officeDocument/2006/relationships/hyperlink" Target="https://whc.unesco.org/en/list/1544/" TargetMode="External"/><Relationship Id="rId26" Type="http://schemas.openxmlformats.org/officeDocument/2006/relationships/hyperlink" Target="https://whc.unesco.org/en/list/1230/" TargetMode="External"/><Relationship Id="rId27" Type="http://schemas.openxmlformats.org/officeDocument/2006/relationships/hyperlink" Target="https://whc.unesco.org/en/list/1627/" TargetMode="External"/><Relationship Id="rId28" Type="http://schemas.openxmlformats.org/officeDocument/2006/relationships/hyperlink" Target="https://whc.unesco.org/en/list/1518/" TargetMode="External"/><Relationship Id="rId29" Type="http://schemas.openxmlformats.org/officeDocument/2006/relationships/hyperlink" Target="https://whc.unesco.org/en/list/208/" TargetMode="External"/><Relationship Id="rId30" Type="http://schemas.openxmlformats.org/officeDocument/2006/relationships/hyperlink" Target="https://whc.unesco.org/en/list/1448/" TargetMode="External"/><Relationship Id="rId31" Type="http://schemas.openxmlformats.org/officeDocument/2006/relationships/hyperlink" Target="https://whc.unesco.org/en/list/340/" TargetMode="External"/><Relationship Id="rId32" Type="http://schemas.openxmlformats.org/officeDocument/2006/relationships/hyperlink" Target="https://whc.unesco.org/en/list/1012/" TargetMode="External"/><Relationship Id="rId33" Type="http://schemas.openxmlformats.org/officeDocument/2006/relationships/hyperlink" Target="https://whc.unesco.org/en/list/1574/" TargetMode="External"/><Relationship Id="rId34"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ich.unesco.org/en/RL/ong-chun-wangchuan-wangkang-ceremony-rituals-and-related-practices-for-maintaining-the-sustainable-connection-between-man-and-the-ocean-01608" TargetMode="External"/><Relationship Id="rId2" Type="http://schemas.openxmlformats.org/officeDocument/2006/relationships/hyperlink" Target="https://ich.unesco.org/en/RL/urtiin-duu-traditional-folk-long-song-00115" TargetMode="External"/><Relationship Id="rId3" Type="http://schemas.openxmlformats.org/officeDocument/2006/relationships/hyperlink" Target="https://ich.unesco.org/en/RL/mongolian-art-of-singing-khoomei-00210" TargetMode="External"/><Relationship Id="rId4" Type="http://schemas.openxmlformats.org/officeDocument/2006/relationships/hyperlink" Target="https://ich.unesco.org/en/state/china-CN?info=elements-on-the-lists" TargetMode="External"/><Relationship Id="rId5" Type="http://schemas.openxmlformats.org/officeDocument/2006/relationships/hyperlink" Target="https://ich.unesco.org/en/state/china-CN?info=elements-on-the-lists" TargetMode="External"/><Relationship Id="rId6" Type="http://schemas.openxmlformats.org/officeDocument/2006/relationships/hyperlink" Target="https://ich.unesco.org/en/state/china-CN?info=elements-on-the-lists" TargetMode="External"/><Relationship Id="rId7" Type="http://schemas.openxmlformats.org/officeDocument/2006/relationships/hyperlink" Target="https://www.unesco.org/en/memory-world/qiaopi-and-yinxin-correspondence-and-remittance-documents-overseas-chinese" TargetMode="External"/><Relationship Id="rId8" Type="http://schemas.openxmlformats.org/officeDocument/2006/relationships/hyperlink" Target="https://en.unesco.org/silkroad" TargetMode="External"/><Relationship Id="rId9" Type="http://schemas.openxmlformats.org/officeDocument/2006/relationships/hyperlink" Target="https://southsouth-galaxy.org/solution/safeguarding-world-heritage-along-the-silk-roads/" TargetMode="External"/><Relationship Id="rId10" Type="http://schemas.openxmlformats.org/officeDocument/2006/relationships/hyperlink" Target="https://whitrap.pku.edu.cn/About_us/Introduction_Center.htm" TargetMode="External"/><Relationship Id="rId1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hc.unesco.org/uploads/nominations/1442.pdf" TargetMode="External"/><Relationship Id="rId2" Type="http://schemas.openxmlformats.org/officeDocument/2006/relationships/hyperlink" Target="https://whc.unesco.org/document/152690" TargetMode="External"/><Relationship Id="rId3" Type="http://schemas.openxmlformats.org/officeDocument/2006/relationships/hyperlink" Target="https://whc.unesco.org/document/132728" TargetMode="External"/><Relationship Id="rId4" Type="http://schemas.openxmlformats.org/officeDocument/2006/relationships/hyperlink" Target="https://whc.unesco.org/en/decisions/6110" TargetMode="External"/><Relationship Id="rId5" Type="http://schemas.openxmlformats.org/officeDocument/2006/relationships/hyperlink" Target="https://whc.unesco.org/en/decisions/6699" TargetMode="External"/><Relationship Id="rId6" Type="http://schemas.openxmlformats.org/officeDocument/2006/relationships/hyperlink" Target="https://whc.unesco.org/en/decisions/7087" TargetMode="External"/><Relationship Id="rId7" Type="http://schemas.openxmlformats.org/officeDocument/2006/relationships/hyperlink" Target="https://whc.unesco.org/en/decisions/7234" TargetMode="External"/><Relationship Id="rId8" Type="http://schemas.openxmlformats.org/officeDocument/2006/relationships/hyperlink" Target="https://whc.unesco.org/en/decisions/7740" TargetMode="External"/><Relationship Id="rId9" Type="http://schemas.openxmlformats.org/officeDocument/2006/relationships/hyperlink" Target="https://whc.unesco.org/en/decisions/8160" TargetMode="External"/><Relationship Id="rId10" Type="http://schemas.openxmlformats.org/officeDocument/2006/relationships/hyperlink" Target="https://whc.unesco.org/en/decisions/8791" TargetMode="External"/><Relationship Id="rId11" Type="http://schemas.openxmlformats.org/officeDocument/2006/relationships/hyperlink" Target="https://whc.unesco.org/document/142401" TargetMode="External"/><Relationship Id="rId12" Type="http://schemas.openxmlformats.org/officeDocument/2006/relationships/hyperlink" Target="https://whc.unesco.org/document/158586" TargetMode="External"/><Relationship Id="rId13" Type="http://schemas.openxmlformats.org/officeDocument/2006/relationships/hyperlink" Target="https://whc.unesco.org/document/217919" TargetMode="External"/><Relationship Id="rId14" Type="http://schemas.openxmlformats.org/officeDocument/2006/relationships/hyperlink" Target="https://whc.unesco.org/document/218280" TargetMode="External"/><Relationship Id="rId15" Type="http://schemas.openxmlformats.org/officeDocument/2006/relationships/hyperlink" Target="https://whc.unesco.org/document/180694" TargetMode="External"/><Relationship Id="rId16" Type="http://schemas.openxmlformats.org/officeDocument/2006/relationships/hyperlink" Target="https://whc.unesco.org/document/166338" TargetMode="External"/><Relationship Id="rId17" Type="http://schemas.openxmlformats.org/officeDocument/2006/relationships/hyperlink" Target="https://whc.unesco.org/document/156862" TargetMode="External"/><Relationship Id="rId18" Type="http://schemas.openxmlformats.org/officeDocument/2006/relationships/hyperlink" Target="https://whc.unesco.org/document/165239" TargetMode="External"/><Relationship Id="rId19" Type="http://schemas.openxmlformats.org/officeDocument/2006/relationships/hyperlink" Target="https://whc.unesco.org/document/139846" TargetMode="External"/><Relationship Id="rId20" Type="http://schemas.openxmlformats.org/officeDocument/2006/relationships/hyperlink" Target="https://whc.unesco.org/document/139897" TargetMode="External"/><Relationship Id="rId21" Type="http://schemas.openxmlformats.org/officeDocument/2006/relationships/hyperlink" Target="https://whc.unesco.org/document/139854" TargetMode="External"/><Relationship Id="rId2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hc.unesco.org/en/list/xml/" TargetMode="External"/><Relationship Id="rId2" Type="http://schemas.openxmlformats.org/officeDocument/2006/relationships/hyperlink" Target="https://whc.unesco.org/zh/list/xml/" TargetMode="External"/><Relationship Id="rId3" Type="http://schemas.openxmlformats.org/officeDocument/2006/relationships/hyperlink" Target="https://whc.unesco.org/en/syndication" TargetMode="External"/><Relationship Id="rId4" Type="http://schemas.openxmlformats.org/officeDocument/2006/relationships/hyperlink" Target="https://whc.unesco.org/en/list/1223/" TargetMode="External"/><Relationship Id="rId5" Type="http://schemas.openxmlformats.org/officeDocument/2006/relationships/hyperlink" Target="https://whc.unesco.org/en/list/1442/documents/" TargetMode="External"/><Relationship Id="rId6" Type="http://schemas.openxmlformats.org/officeDocument/2006/relationships/hyperlink" Target="https://whc.unesco.org/en/statesparties/cn" TargetMode="External"/><Relationship Id="rId7" Type="http://schemas.openxmlformats.org/officeDocument/2006/relationships/hyperlink" Target="https://whc.unesco.org/en/decisions/" TargetMode="External"/><Relationship Id="rId8" Type="http://schemas.openxmlformats.org/officeDocument/2006/relationships/hyperlink" Target="https://ich.unesco.org/en/state/china-CN?info=elements-on-the-lists" TargetMode="External"/><Relationship Id="rId9" Type="http://schemas.openxmlformats.org/officeDocument/2006/relationships/hyperlink" Target="https://www.unesco.org/en/memory-world" TargetMode="External"/><Relationship Id="rId10" Type="http://schemas.openxmlformats.org/officeDocument/2006/relationships/hyperlink" Target="https://www.wikidata.org/" TargetMode="External"/><Relationship Id="rId1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www.ncha.gov.cn/" TargetMode="External"/><Relationship Id="rId2" Type="http://schemas.openxmlformats.org/officeDocument/2006/relationships/hyperlink" Target="http://www.ncha.gov.cn/art/2026/7/29/art_2318_48456.html" TargetMode="External"/><Relationship Id="rId3" Type="http://schemas.openxmlformats.org/officeDocument/2006/relationships/hyperlink" Target="https://www.mct.gov.cn/" TargetMode="External"/><Relationship Id="rId4" Type="http://schemas.openxmlformats.org/officeDocument/2006/relationships/hyperlink" Target="https://www.ihchina.cn/project.html" TargetMode="External"/><Relationship Id="rId5" Type="http://schemas.openxmlformats.org/officeDocument/2006/relationships/hyperlink" Target="https://kh.china-embassy.gov.cn/" TargetMode="External"/><Relationship Id="rId6" Type="http://schemas.openxmlformats.org/officeDocument/2006/relationships/hyperlink" Target="https://www.chinanews.com.cn/gj/2022/08-29/9839659.shtml" TargetMode="External"/><Relationship Id="rId7" Type="http://schemas.openxmlformats.org/officeDocument/2006/relationships/hyperlink" Target="https://www.cssn.cn/skgz/bwyc/202605/t20260522_5992725.shtml" TargetMode="External"/><Relationship Id="rId8" Type="http://schemas.openxmlformats.org/officeDocument/2006/relationships/hyperlink" Target="https://www.chinanews.com.cn/sh/2026/09-24/10703295.shtml" TargetMode="External"/><Relationship Id="rId9" Type="http://schemas.openxmlformats.org/officeDocument/2006/relationships/hyperlink" Target="https://english.www.gov.cn/news/202304/25/content_WS6447673dc6d03ffcca6ec9ee.html" TargetMode="External"/><Relationship Id="rId10" Type="http://schemas.openxmlformats.org/officeDocument/2006/relationships/hyperlink" Target="https://www.yidaiyilu.gov.cn/" TargetMode="External"/><Relationship Id="rId11" Type="http://schemas.openxmlformats.org/officeDocument/2006/relationships/hyperlink" Target="https://hqhryj.jnu.edu.cn/5535/list.htm" TargetMode="External"/><Relationship Id="rId12" Type="http://schemas.openxmlformats.org/officeDocument/2006/relationships/hyperlink" Target="https://www.cnki.net/" TargetMode="External"/><Relationship Id="rId13"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http://www.ncha.gov.cn/art/2017/2/27/art_2237_43663.html" TargetMode="External"/><Relationship Id="rId2" Type="http://schemas.openxmlformats.org/officeDocument/2006/relationships/hyperlink" Target="http://www.ncha.gov.cn/art/2017/2/27/art_2237_43663.html" TargetMode="External"/><Relationship Id="rId3" Type="http://schemas.openxmlformats.org/officeDocument/2006/relationships/hyperlink" Target="https://www.ndrc.gov.cn/fggz/fzzlgh/gjjzxgh/202112/t20211201_1306596.html" TargetMode="External"/><Relationship Id="rId4" Type="http://schemas.openxmlformats.org/officeDocument/2006/relationships/hyperlink" Target="http://www.ncha.gov.cn/art/2021/10/25/art_722_171543.html" TargetMode="External"/><Relationship Id="rId5" Type="http://schemas.openxmlformats.org/officeDocument/2006/relationships/hyperlink" Target="http://www.ncha.gov.cn/art/2022/2/18/art_722_173029.html" TargetMode="External"/><Relationship Id="rId6" Type="http://schemas.openxmlformats.org/officeDocument/2006/relationships/hyperlink" Target="http://www.ncha.gov.cn/art/2026/7/29/art_2318_48456.html" TargetMode="External"/><Relationship Id="rId7" Type="http://schemas.openxmlformats.org/officeDocument/2006/relationships/hyperlink" Target="http://www.ncha.gov.cn/art/2026/7/29/art_2318_48456.html" TargetMode="External"/><Relationship Id="rId8" Type="http://schemas.openxmlformats.org/officeDocument/2006/relationships/hyperlink" Target="http://www.ncha.gov.cn/art/2026/7/29/art_2318_48456.html" TargetMode="External"/><Relationship Id="rId9" Type="http://schemas.openxmlformats.org/officeDocument/2006/relationships/hyperlink" Target="http://www.ncha.gov.cn/art/2026/7/29/art_2318_48456.html" TargetMode="External"/><Relationship Id="rId10" Type="http://schemas.openxmlformats.org/officeDocument/2006/relationships/hyperlink" Target="http://www.ncha.gov.cn/art/2026/7/29/art_2318_48456.html" TargetMode="External"/><Relationship Id="rId11" Type="http://schemas.openxmlformats.org/officeDocument/2006/relationships/hyperlink" Target="https://www.chinanews.com.cn/sh/2026/09-24/10703295.shtml" TargetMode="External"/><Relationship Id="rId12" Type="http://schemas.openxmlformats.org/officeDocument/2006/relationships/hyperlink" Target="https://www.cssn.cn/skgz/bwyc/202605/t20260522_5992725.shtml" TargetMode="External"/><Relationship Id="rId13" Type="http://schemas.openxmlformats.org/officeDocument/2006/relationships/hyperlink" Target="https://kh.china-embassy.gov.cn/dssghd/202609/t20260908_12018158.htm" TargetMode="External"/><Relationship Id="rId14" Type="http://schemas.openxmlformats.org/officeDocument/2006/relationships/hyperlink" Target="https://my.china-embassy.gov.cn/sgxx/dsjh/201611/t20161105_1790289.htm" TargetMode="External"/><Relationship Id="rId15" Type="http://schemas.openxmlformats.org/officeDocument/2006/relationships/hyperlink" Target="https://my.china-embassy.gov.cn/sgxx/dsjh/201611/t20161105_1790289.htm" TargetMode="External"/><Relationship Id="rId16" Type="http://schemas.openxmlformats.org/officeDocument/2006/relationships/hyperlink" Target="https://ke.china-embassy.gov.cn/sgxx/dszs_145423/202402/t20240223_11249135.htm" TargetMode="External"/><Relationship Id="rId17" Type="http://schemas.openxmlformats.org/officeDocument/2006/relationships/hyperlink" Target="https://www.ihchina.cn/project.html" TargetMode="External"/><Relationship Id="rId18" Type="http://schemas.openxmlformats.org/officeDocument/2006/relationships/hyperlink" Target="https://www.ihchina.cn/project.html" TargetMode="External"/><Relationship Id="rId19" Type="http://schemas.openxmlformats.org/officeDocument/2006/relationships/hyperlink" Target="https://www.ihchina.cn/project.html" TargetMode="External"/><Relationship Id="rId20" Type="http://schemas.openxmlformats.org/officeDocument/2006/relationships/hyperlink" Target="https://www.ihchina.cn/project.html" TargetMode="External"/><Relationship Id="rId2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http://www.ncha.gov.cn/art/2022/2/18/art_722_173029.html" TargetMode="External"/><Relationship Id="rId2" Type="http://schemas.openxmlformats.org/officeDocument/2006/relationships/hyperlink" Target="http://www.ncha.gov.cn/art/2022/2/18/art_722_173029.html" TargetMode="External"/><Relationship Id="rId3" Type="http://schemas.openxmlformats.org/officeDocument/2006/relationships/hyperlink" Target="http://www.ncha.gov.cn/art/2022/2/18/art_722_173029.html" TargetMode="External"/><Relationship Id="rId4" Type="http://schemas.openxmlformats.org/officeDocument/2006/relationships/hyperlink" Target="http://www.ncha.gov.cn/art/2022/2/18/art_722_173029.html" TargetMode="External"/><Relationship Id="rId5" Type="http://schemas.openxmlformats.org/officeDocument/2006/relationships/hyperlink" Target="https://www.ndrc.gov.cn/fggz/fzzlgh/gjjzxgh/202112/t20211201_1306596.html" TargetMode="External"/><Relationship Id="rId6" Type="http://schemas.openxmlformats.org/officeDocument/2006/relationships/hyperlink" Target="http://www.ncha.gov.cn/art/2026/7/29/art_2318_48456.html" TargetMode="External"/><Relationship Id="rId7" Type="http://schemas.openxmlformats.org/officeDocument/2006/relationships/hyperlink" Target="http://www.ncha.gov.cn/art/2026/7/29/art_2318_48456.html" TargetMode="External"/><Relationship Id="rId8" Type="http://schemas.openxmlformats.org/officeDocument/2006/relationships/hyperlink" Target="https://www.cssn.cn/skgz/bwyc/202605/t20260522_5992725.shtml" TargetMode="External"/><Relationship Id="rId9" Type="http://schemas.openxmlformats.org/officeDocument/2006/relationships/hyperlink" Target="https://www.cssn.cn/skgz/bwyc/202605/t20260522_5992725.shtml" TargetMode="External"/><Relationship Id="rId10" Type="http://schemas.openxmlformats.org/officeDocument/2006/relationships/hyperlink" Target="https://www.chinanews.com.cn/sh/2026/09-24/10703295.shtml" TargetMode="External"/><Relationship Id="rId11" Type="http://schemas.openxmlformats.org/officeDocument/2006/relationships/hyperlink" Target="https://www.cssn.cn/skgz/bwyc/202605/t20260522_5992725.shtml" TargetMode="External"/><Relationship Id="rId12" Type="http://schemas.openxmlformats.org/officeDocument/2006/relationships/hyperlink" Target="https://www.cssn.cn/skgz/bwyc/202605/t20260522_5992725.shtml" TargetMode="External"/><Relationship Id="rId13" Type="http://schemas.openxmlformats.org/officeDocument/2006/relationships/hyperlink" Target="https://www.chinanews.com.cn/sh/2026/09-24/10703295.shtml" TargetMode="External"/><Relationship Id="rId14" Type="http://schemas.openxmlformats.org/officeDocument/2006/relationships/hyperlink" Target="https://www.chinanews.com.cn/sh/2026/09-24/10703295.shtml" TargetMode="External"/><Relationship Id="rId15" Type="http://schemas.openxmlformats.org/officeDocument/2006/relationships/hyperlink" Target="https://ke.china-embassy.gov.cn/sgxx/dszs_145423/202402/t20240223_11249135.htm" TargetMode="External"/><Relationship Id="rId16"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c r="B5" s="4" t="n">
        <f aca="false">COUNTA('China WH List'!A2:A200)</f>
        <v>61</v>
      </c>
    </row>
    <row r="6" customFormat="false" ht="15" hidden="false" customHeight="false" outlineLevel="0" collapsed="false">
      <c r="A6" s="2" t="s">
        <v>4</v>
      </c>
      <c r="B6" s="4" t="n">
        <f aca="false">COUNTIF('China WH List'!D2:D200,"Cultural")</f>
        <v>42</v>
      </c>
    </row>
    <row r="7" customFormat="false" ht="15" hidden="false" customHeight="false" outlineLevel="0" collapsed="false">
      <c r="A7" s="2" t="s">
        <v>5</v>
      </c>
      <c r="B7" s="4" t="n">
        <f aca="false">COUNTIF('China WH List'!D2:D200,"Natural")</f>
        <v>15</v>
      </c>
    </row>
    <row r="8" customFormat="false" ht="15" hidden="false" customHeight="false" outlineLevel="0" collapsed="false">
      <c r="A8" s="2" t="s">
        <v>6</v>
      </c>
      <c r="B8" s="4" t="n">
        <f aca="false">COUNTIF('China WH List'!D2:D200,"Mixed")</f>
        <v>4</v>
      </c>
    </row>
    <row r="9" customFormat="false" ht="15" hidden="false" customHeight="false" outlineLevel="0" collapsed="false">
      <c r="A9" s="2" t="s">
        <v>7</v>
      </c>
      <c r="B9" s="4" t="n">
        <f aca="false">COUNTIF('China WH List'!H2:H200,"Yes")</f>
        <v>1</v>
      </c>
    </row>
    <row r="10" customFormat="false" ht="15" hidden="false" customHeight="false" outlineLevel="0" collapsed="false">
      <c r="A10" s="2" t="s">
        <v>8</v>
      </c>
      <c r="B10" s="4" t="n">
        <f aca="false">COUNTIF('China WH List'!M2:M200,"?*")</f>
        <v>9</v>
      </c>
    </row>
    <row r="11" customFormat="false" ht="15" hidden="false" customHeight="false" outlineLevel="0" collapsed="false">
      <c r="A11" s="2" t="s">
        <v>9</v>
      </c>
      <c r="B11" s="4" t="n">
        <f aca="false">COUNTA('China Tentative List'!A2:A200)</f>
        <v>60</v>
      </c>
    </row>
    <row r="12" customFormat="false" ht="15" hidden="false" customHeight="false" outlineLevel="0" collapsed="false">
      <c r="A12" s="2" t="s">
        <v>10</v>
      </c>
      <c r="B12" s="4" t="n">
        <f aca="false">COUNTIF('China Tentative List'!D2:D200,"?*")</f>
        <v>2</v>
      </c>
    </row>
    <row r="13" customFormat="false" ht="15" hidden="false" customHeight="false" outlineLevel="0" collapsed="false">
      <c r="A13" s="2" t="s">
        <v>11</v>
      </c>
      <c r="B13" s="4" t="n">
        <f aca="false">COUNTA('Sites Abroad Linked to China'!A2:A200)</f>
        <v>33</v>
      </c>
    </row>
    <row r="14" customFormat="false" ht="15" hidden="false" customHeight="false" outlineLevel="0" collapsed="false">
      <c r="A14" s="2" t="s">
        <v>12</v>
      </c>
      <c r="B14" s="4" t="n">
        <f aca="false">COUNTA('Sites Abroad Linked to China'!A2:A200)-COUNTIF('Sites Abroad Linked to China'!H2:H200,"Geographic mention only")</f>
        <v>29</v>
      </c>
    </row>
    <row r="15" customFormat="false" ht="15" hidden="false" customHeight="false" outlineLevel="0" collapsed="false">
      <c r="A15" s="2"/>
    </row>
    <row r="16" customFormat="false" ht="15" hidden="false" customHeight="false" outlineLevel="0" collapsed="false">
      <c r="A16" s="3" t="s">
        <v>13</v>
      </c>
    </row>
    <row r="17" customFormat="false" ht="23.85" hidden="false" customHeight="false" outlineLevel="0" collapsed="false">
      <c r="A17" s="2" t="s">
        <v>14</v>
      </c>
      <c r="B17" s="4" t="s">
        <v>15</v>
      </c>
    </row>
    <row r="18" customFormat="false" ht="15" hidden="false" customHeight="false" outlineLevel="0" collapsed="false">
      <c r="A18" s="2" t="s">
        <v>16</v>
      </c>
      <c r="B18" s="4" t="s">
        <v>17</v>
      </c>
    </row>
    <row r="19" customFormat="false" ht="23.85" hidden="false" customHeight="false" outlineLevel="0" collapsed="false">
      <c r="A19" s="2" t="s">
        <v>18</v>
      </c>
      <c r="B19" s="4" t="s">
        <v>19</v>
      </c>
    </row>
    <row r="20" customFormat="false" ht="15" hidden="false" customHeight="false" outlineLevel="0" collapsed="false">
      <c r="A20" s="2" t="s">
        <v>20</v>
      </c>
      <c r="B20" s="4" t="s">
        <v>21</v>
      </c>
    </row>
    <row r="21" customFormat="false" ht="15" hidden="false" customHeight="false" outlineLevel="0" collapsed="false">
      <c r="A21" s="2" t="s">
        <v>22</v>
      </c>
      <c r="B21" s="4" t="s">
        <v>23</v>
      </c>
    </row>
    <row r="22" customFormat="false" ht="15" hidden="false" customHeight="false" outlineLevel="0" collapsed="false">
      <c r="A22" s="2" t="s">
        <v>24</v>
      </c>
      <c r="B22" s="4" t="s">
        <v>25</v>
      </c>
    </row>
    <row r="23" customFormat="false" ht="15" hidden="false" customHeight="false" outlineLevel="0" collapsed="false">
      <c r="A23" s="2"/>
    </row>
    <row r="24" customFormat="false" ht="15" hidden="false" customHeight="false" outlineLevel="0" collapsed="false">
      <c r="A24" s="3" t="s">
        <v>26</v>
      </c>
    </row>
    <row r="25" customFormat="false" ht="15" hidden="false" customHeight="false" outlineLevel="0" collapsed="false">
      <c r="A25" s="2" t="s">
        <v>27</v>
      </c>
      <c r="B25" s="4" t="s">
        <v>28</v>
      </c>
    </row>
    <row r="26" customFormat="false" ht="15" hidden="false" customHeight="false" outlineLevel="0" collapsed="false">
      <c r="A26" s="2" t="s">
        <v>29</v>
      </c>
      <c r="B26" s="4" t="s">
        <v>30</v>
      </c>
    </row>
    <row r="27" customFormat="false" ht="15" hidden="false" customHeight="false" outlineLevel="0" collapsed="false">
      <c r="A27" s="2"/>
    </row>
    <row r="28" customFormat="false" ht="35.05" hidden="false" customHeight="false" outlineLevel="0" collapsed="false">
      <c r="A28" s="2" t="s">
        <v>31</v>
      </c>
      <c r="B28" s="4" t="s">
        <v>32</v>
      </c>
    </row>
    <row r="30" customFormat="false" ht="15" hidden="false" customHeight="false" outlineLevel="0" collapsed="false">
      <c r="A30" s="3" t="s">
        <v>33</v>
      </c>
    </row>
    <row r="31" customFormat="false" ht="15" hidden="false" customHeight="false" outlineLevel="0" collapsed="false">
      <c r="A31" s="2" t="s">
        <v>34</v>
      </c>
      <c r="B31" s="4" t="n">
        <f aca="false">COUNTA('1b Chinese Sources'!A2:A200)</f>
        <v>12</v>
      </c>
    </row>
    <row r="32" customFormat="false" ht="15" hidden="false" customHeight="false" outlineLevel="0" collapsed="false">
      <c r="A32" s="2" t="s">
        <v>35</v>
      </c>
      <c r="B32" s="4" t="n">
        <f aca="false">COUNTA('1b Framing Examples'!A2:A200)</f>
        <v>20</v>
      </c>
    </row>
    <row r="33" customFormat="false" ht="15" hidden="false" customHeight="false" outlineLevel="0" collapsed="false">
      <c r="A33" s="2" t="s">
        <v>36</v>
      </c>
      <c r="B33" s="4" t="n">
        <f aca="false">COUNTA('1b Chinese Projects Abroad'!A2:A200)</f>
        <v>15</v>
      </c>
    </row>
    <row r="34" customFormat="false" ht="15" hidden="false" customHeight="false" outlineLevel="0" collapsed="false">
      <c r="A34" s="2" t="s">
        <v>37</v>
      </c>
      <c r="B34" s="4" t="s">
        <v>38</v>
      </c>
    </row>
    <row r="35" customFormat="false" ht="23.85" hidden="false" customHeight="false" outlineLevel="0" collapsed="false">
      <c r="A35" s="2" t="s">
        <v>39</v>
      </c>
      <c r="B35" s="4" t="s">
        <v>40</v>
      </c>
    </row>
    <row r="36" customFormat="false" ht="15" hidden="false" customHeight="false" outlineLevel="0" collapsed="false">
      <c r="A36" s="2" t="s">
        <v>41</v>
      </c>
      <c r="B36" s="4"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2"/>
    <col collapsed="false" customWidth="true" hidden="false" outlineLevel="0" max="3" min="3" style="0" width="26"/>
    <col collapsed="false" customWidth="true" hidden="false" outlineLevel="0" max="4" min="4" style="0" width="10"/>
    <col collapsed="false" customWidth="true" hidden="false" outlineLevel="0" max="5" min="5" style="0" width="16"/>
    <col collapsed="false" customWidth="true" hidden="false" outlineLevel="0" max="6" min="6" style="0" width="9"/>
    <col collapsed="false" customWidth="true" hidden="false" outlineLevel="0" max="8" min="7" style="0" width="11"/>
    <col collapsed="false" customWidth="true" hidden="false" outlineLevel="0" max="9" min="9" style="0" width="20"/>
    <col collapsed="false" customWidth="true" hidden="false" outlineLevel="0" max="10" min="10" style="0" width="10"/>
    <col collapsed="false" customWidth="true" hidden="false" outlineLevel="0" max="12" min="11" style="0" width="11"/>
    <col collapsed="false" customWidth="true" hidden="false" outlineLevel="0" max="13" min="13" style="0" width="22"/>
    <col collapsed="false" customWidth="true" hidden="false" outlineLevel="0" max="14" min="14" style="0" width="60"/>
    <col collapsed="false" customWidth="true" hidden="false" outlineLevel="0" max="15" min="15" style="0" width="30"/>
    <col collapsed="false" customWidth="true" hidden="false" outlineLevel="0" max="16" min="16" style="0" width="34"/>
    <col collapsed="false" customWidth="true" hidden="false" outlineLevel="0" max="17" min="17" style="0" width="26"/>
    <col collapsed="false" customWidth="true" hidden="false" outlineLevel="0" max="18" min="18" style="0" width="14"/>
  </cols>
  <sheetData>
    <row r="1" customFormat="false" ht="31.5" hidden="false" customHeight="true" outlineLevel="0" collapsed="false">
      <c r="A1" s="5" t="s">
        <v>43</v>
      </c>
      <c r="B1" s="5" t="s">
        <v>44</v>
      </c>
      <c r="C1" s="5" t="s">
        <v>45</v>
      </c>
      <c r="D1" s="5" t="s">
        <v>46</v>
      </c>
      <c r="E1" s="5" t="s">
        <v>47</v>
      </c>
      <c r="F1" s="5" t="s">
        <v>48</v>
      </c>
      <c r="G1" s="5" t="s">
        <v>49</v>
      </c>
      <c r="H1" s="5" t="s">
        <v>50</v>
      </c>
      <c r="I1" s="5" t="s">
        <v>51</v>
      </c>
      <c r="J1" s="5" t="s">
        <v>52</v>
      </c>
      <c r="K1" s="5" t="s">
        <v>53</v>
      </c>
      <c r="L1" s="5" t="s">
        <v>54</v>
      </c>
      <c r="M1" s="5" t="s">
        <v>55</v>
      </c>
      <c r="N1" s="5" t="s">
        <v>56</v>
      </c>
      <c r="O1" s="5" t="s">
        <v>57</v>
      </c>
      <c r="P1" s="5" t="s">
        <v>58</v>
      </c>
      <c r="Q1" s="5" t="s">
        <v>59</v>
      </c>
      <c r="R1" s="5" t="s">
        <v>60</v>
      </c>
    </row>
    <row r="2" customFormat="false" ht="23.85" hidden="false" customHeight="false" outlineLevel="0" collapsed="false">
      <c r="A2" s="4" t="n">
        <v>437</v>
      </c>
      <c r="B2" s="4" t="s">
        <v>61</v>
      </c>
      <c r="C2" s="6" t="s">
        <v>62</v>
      </c>
      <c r="D2" s="4" t="s">
        <v>63</v>
      </c>
      <c r="E2" s="4" t="s">
        <v>64</v>
      </c>
      <c r="F2" s="6" t="n">
        <v>1987</v>
      </c>
      <c r="G2" s="6"/>
      <c r="H2" s="4" t="s">
        <v>65</v>
      </c>
      <c r="I2" s="6"/>
      <c r="J2" s="6" t="n">
        <v>1</v>
      </c>
      <c r="K2" s="6" t="n">
        <v>36.26667</v>
      </c>
      <c r="L2" s="6" t="n">
        <v>117.1</v>
      </c>
      <c r="M2" s="6"/>
      <c r="N2" s="6"/>
      <c r="O2" s="7" t="s">
        <v>66</v>
      </c>
      <c r="P2" s="7" t="s">
        <v>67</v>
      </c>
      <c r="Q2" s="8"/>
      <c r="R2" s="8"/>
    </row>
    <row r="3" customFormat="false" ht="15" hidden="false" customHeight="false" outlineLevel="0" collapsed="false">
      <c r="A3" s="6" t="n">
        <v>438</v>
      </c>
      <c r="B3" s="4" t="s">
        <v>68</v>
      </c>
      <c r="C3" s="6" t="s">
        <v>69</v>
      </c>
      <c r="D3" s="4" t="s">
        <v>70</v>
      </c>
      <c r="E3" s="4" t="s">
        <v>71</v>
      </c>
      <c r="F3" s="6" t="n">
        <v>1987</v>
      </c>
      <c r="G3" s="6"/>
      <c r="H3" s="4" t="s">
        <v>65</v>
      </c>
      <c r="I3" s="6"/>
      <c r="J3" s="6" t="n">
        <v>3</v>
      </c>
      <c r="K3" s="6" t="n">
        <v>39.8</v>
      </c>
      <c r="L3" s="6" t="n">
        <v>98.225</v>
      </c>
      <c r="M3" s="6"/>
      <c r="N3" s="6"/>
      <c r="O3" s="7" t="s">
        <v>72</v>
      </c>
      <c r="P3" s="7" t="s">
        <v>73</v>
      </c>
      <c r="Q3" s="8"/>
      <c r="R3" s="8"/>
    </row>
    <row r="4" customFormat="false" ht="29.85" hidden="false" customHeight="false" outlineLevel="0" collapsed="false">
      <c r="A4" s="6" t="n">
        <v>439</v>
      </c>
      <c r="B4" s="4" t="s">
        <v>74</v>
      </c>
      <c r="C4" s="6" t="s">
        <v>75</v>
      </c>
      <c r="D4" s="4" t="s">
        <v>70</v>
      </c>
      <c r="E4" s="4" t="s">
        <v>76</v>
      </c>
      <c r="F4" s="6" t="n">
        <v>1987</v>
      </c>
      <c r="G4" s="4" t="s">
        <v>77</v>
      </c>
      <c r="H4" s="4" t="s">
        <v>65</v>
      </c>
      <c r="I4" s="6"/>
      <c r="J4" s="6" t="n">
        <v>2</v>
      </c>
      <c r="K4" s="6" t="n">
        <v>39.917118</v>
      </c>
      <c r="L4" s="6" t="n">
        <v>116.397151</v>
      </c>
      <c r="M4" s="6"/>
      <c r="N4" s="6"/>
      <c r="O4" s="7" t="s">
        <v>78</v>
      </c>
      <c r="P4" s="7" t="s">
        <v>79</v>
      </c>
      <c r="Q4" s="8"/>
      <c r="R4" s="8"/>
    </row>
    <row r="5" customFormat="false" ht="23.85" hidden="false" customHeight="false" outlineLevel="0" collapsed="false">
      <c r="A5" s="6" t="n">
        <v>440</v>
      </c>
      <c r="B5" s="4" t="s">
        <v>80</v>
      </c>
      <c r="C5" s="6" t="s">
        <v>81</v>
      </c>
      <c r="D5" s="4" t="s">
        <v>70</v>
      </c>
      <c r="E5" s="4" t="s">
        <v>82</v>
      </c>
      <c r="F5" s="6" t="n">
        <v>1987</v>
      </c>
      <c r="G5" s="6"/>
      <c r="H5" s="4" t="s">
        <v>65</v>
      </c>
      <c r="I5" s="6"/>
      <c r="J5" s="6" t="n">
        <v>1</v>
      </c>
      <c r="K5" s="6" t="n">
        <v>40.13333</v>
      </c>
      <c r="L5" s="6" t="n">
        <v>94.81667</v>
      </c>
      <c r="M5" s="4" t="s">
        <v>83</v>
      </c>
      <c r="N5" s="4" t="s">
        <v>84</v>
      </c>
      <c r="O5" s="7" t="s">
        <v>85</v>
      </c>
      <c r="P5" s="7" t="s">
        <v>86</v>
      </c>
      <c r="Q5" s="8"/>
      <c r="R5" s="8"/>
    </row>
    <row r="6" customFormat="false" ht="15" hidden="false" customHeight="false" outlineLevel="0" collapsed="false">
      <c r="A6" s="6" t="n">
        <v>441</v>
      </c>
      <c r="B6" s="4" t="s">
        <v>87</v>
      </c>
      <c r="C6" s="6" t="s">
        <v>88</v>
      </c>
      <c r="D6" s="4" t="s">
        <v>70</v>
      </c>
      <c r="E6" s="4" t="s">
        <v>89</v>
      </c>
      <c r="F6" s="6" t="n">
        <v>1987</v>
      </c>
      <c r="G6" s="6"/>
      <c r="H6" s="4" t="s">
        <v>65</v>
      </c>
      <c r="I6" s="6"/>
      <c r="J6" s="6" t="n">
        <v>2</v>
      </c>
      <c r="K6" s="6" t="n">
        <v>34.3814166667</v>
      </c>
      <c r="L6" s="6" t="n">
        <v>109.253666667</v>
      </c>
      <c r="M6" s="6"/>
      <c r="N6" s="6"/>
      <c r="O6" s="7" t="s">
        <v>90</v>
      </c>
      <c r="P6" s="7" t="s">
        <v>91</v>
      </c>
      <c r="Q6" s="8"/>
      <c r="R6" s="8"/>
    </row>
    <row r="7" customFormat="false" ht="15" hidden="false" customHeight="false" outlineLevel="0" collapsed="false">
      <c r="A7" s="6" t="n">
        <v>449</v>
      </c>
      <c r="B7" s="4" t="s">
        <v>92</v>
      </c>
      <c r="C7" s="6" t="s">
        <v>93</v>
      </c>
      <c r="D7" s="4" t="s">
        <v>70</v>
      </c>
      <c r="E7" s="4" t="s">
        <v>94</v>
      </c>
      <c r="F7" s="6" t="n">
        <v>1987</v>
      </c>
      <c r="G7" s="6"/>
      <c r="H7" s="4" t="s">
        <v>65</v>
      </c>
      <c r="I7" s="6"/>
      <c r="J7" s="6" t="n">
        <v>1</v>
      </c>
      <c r="K7" s="6" t="n">
        <v>39.689449</v>
      </c>
      <c r="L7" s="6" t="n">
        <v>115.922702</v>
      </c>
      <c r="M7" s="6"/>
      <c r="N7" s="6"/>
      <c r="O7" s="7" t="s">
        <v>95</v>
      </c>
      <c r="P7" s="7" t="s">
        <v>96</v>
      </c>
      <c r="Q7" s="8"/>
      <c r="R7" s="8"/>
    </row>
    <row r="8" customFormat="false" ht="15" hidden="false" customHeight="false" outlineLevel="0" collapsed="false">
      <c r="A8" s="6" t="n">
        <v>547</v>
      </c>
      <c r="B8" s="4" t="s">
        <v>97</v>
      </c>
      <c r="C8" s="6" t="s">
        <v>98</v>
      </c>
      <c r="D8" s="4" t="s">
        <v>63</v>
      </c>
      <c r="E8" s="4" t="s">
        <v>99</v>
      </c>
      <c r="F8" s="6" t="n">
        <v>1990</v>
      </c>
      <c r="G8" s="6"/>
      <c r="H8" s="4" t="s">
        <v>65</v>
      </c>
      <c r="I8" s="6"/>
      <c r="J8" s="6" t="n">
        <v>1</v>
      </c>
      <c r="K8" s="6" t="n">
        <v>30.145333</v>
      </c>
      <c r="L8" s="6" t="n">
        <v>118.155083</v>
      </c>
      <c r="M8" s="6"/>
      <c r="N8" s="6"/>
      <c r="O8" s="7" t="s">
        <v>100</v>
      </c>
      <c r="P8" s="7" t="s">
        <v>101</v>
      </c>
      <c r="Q8" s="8"/>
      <c r="R8" s="8"/>
    </row>
    <row r="9" customFormat="false" ht="15" hidden="false" customHeight="false" outlineLevel="0" collapsed="false">
      <c r="A9" s="6" t="n">
        <v>637</v>
      </c>
      <c r="B9" s="4" t="s">
        <v>102</v>
      </c>
      <c r="C9" s="6" t="s">
        <v>103</v>
      </c>
      <c r="D9" s="4" t="s">
        <v>104</v>
      </c>
      <c r="E9" s="4" t="s">
        <v>105</v>
      </c>
      <c r="F9" s="6" t="n">
        <v>1992</v>
      </c>
      <c r="G9" s="6"/>
      <c r="H9" s="4" t="s">
        <v>65</v>
      </c>
      <c r="I9" s="6"/>
      <c r="J9" s="6" t="n">
        <v>1</v>
      </c>
      <c r="K9" s="6" t="n">
        <v>33.08333</v>
      </c>
      <c r="L9" s="6" t="n">
        <v>103.91667</v>
      </c>
      <c r="M9" s="6"/>
      <c r="N9" s="6"/>
      <c r="O9" s="7" t="s">
        <v>106</v>
      </c>
      <c r="P9" s="7" t="s">
        <v>107</v>
      </c>
      <c r="Q9" s="8"/>
      <c r="R9" s="8"/>
    </row>
    <row r="10" customFormat="false" ht="15" hidden="false" customHeight="false" outlineLevel="0" collapsed="false">
      <c r="A10" s="6" t="n">
        <v>638</v>
      </c>
      <c r="B10" s="4" t="s">
        <v>108</v>
      </c>
      <c r="C10" s="6" t="s">
        <v>109</v>
      </c>
      <c r="D10" s="4" t="s">
        <v>104</v>
      </c>
      <c r="E10" s="4" t="s">
        <v>105</v>
      </c>
      <c r="F10" s="6" t="n">
        <v>1992</v>
      </c>
      <c r="G10" s="6"/>
      <c r="H10" s="4" t="s">
        <v>65</v>
      </c>
      <c r="I10" s="6"/>
      <c r="J10" s="6" t="n">
        <v>1</v>
      </c>
      <c r="K10" s="6" t="n">
        <v>32.75417</v>
      </c>
      <c r="L10" s="6" t="n">
        <v>103.82222</v>
      </c>
      <c r="M10" s="6"/>
      <c r="N10" s="6"/>
      <c r="O10" s="7" t="s">
        <v>110</v>
      </c>
      <c r="P10" s="7" t="s">
        <v>111</v>
      </c>
      <c r="Q10" s="8"/>
      <c r="R10" s="8"/>
    </row>
    <row r="11" customFormat="false" ht="15" hidden="false" customHeight="false" outlineLevel="0" collapsed="false">
      <c r="A11" s="6" t="n">
        <v>640</v>
      </c>
      <c r="B11" s="4" t="s">
        <v>112</v>
      </c>
      <c r="C11" s="6" t="s">
        <v>113</v>
      </c>
      <c r="D11" s="4" t="s">
        <v>104</v>
      </c>
      <c r="E11" s="4" t="s">
        <v>105</v>
      </c>
      <c r="F11" s="6" t="n">
        <v>1992</v>
      </c>
      <c r="G11" s="6"/>
      <c r="H11" s="4" t="s">
        <v>65</v>
      </c>
      <c r="I11" s="6"/>
      <c r="J11" s="6" t="n">
        <v>1</v>
      </c>
      <c r="K11" s="6" t="n">
        <v>29.33333</v>
      </c>
      <c r="L11" s="6" t="n">
        <v>110.5</v>
      </c>
      <c r="M11" s="6"/>
      <c r="N11" s="6"/>
      <c r="O11" s="7" t="s">
        <v>114</v>
      </c>
      <c r="P11" s="7" t="s">
        <v>115</v>
      </c>
      <c r="Q11" s="8"/>
      <c r="R11" s="8"/>
    </row>
    <row r="12" customFormat="false" ht="23.85" hidden="false" customHeight="false" outlineLevel="0" collapsed="false">
      <c r="A12" s="6" t="n">
        <v>703</v>
      </c>
      <c r="B12" s="4" t="s">
        <v>116</v>
      </c>
      <c r="C12" s="6" t="s">
        <v>117</v>
      </c>
      <c r="D12" s="4" t="s">
        <v>70</v>
      </c>
      <c r="E12" s="4" t="s">
        <v>118</v>
      </c>
      <c r="F12" s="6" t="n">
        <v>1994</v>
      </c>
      <c r="G12" s="6"/>
      <c r="H12" s="4" t="s">
        <v>65</v>
      </c>
      <c r="I12" s="6"/>
      <c r="J12" s="6" t="n">
        <v>1</v>
      </c>
      <c r="K12" s="6" t="n">
        <v>40.98694</v>
      </c>
      <c r="L12" s="6" t="n">
        <v>117.93833</v>
      </c>
      <c r="M12" s="6"/>
      <c r="N12" s="6"/>
      <c r="O12" s="7" t="s">
        <v>119</v>
      </c>
      <c r="P12" s="7" t="s">
        <v>120</v>
      </c>
      <c r="Q12" s="8"/>
      <c r="R12" s="8"/>
    </row>
    <row r="13" customFormat="false" ht="23.85" hidden="false" customHeight="false" outlineLevel="0" collapsed="false">
      <c r="A13" s="6" t="n">
        <v>704</v>
      </c>
      <c r="B13" s="4" t="s">
        <v>121</v>
      </c>
      <c r="C13" s="6" t="s">
        <v>122</v>
      </c>
      <c r="D13" s="4" t="s">
        <v>70</v>
      </c>
      <c r="E13" s="4" t="s">
        <v>123</v>
      </c>
      <c r="F13" s="6" t="n">
        <v>1994</v>
      </c>
      <c r="G13" s="6"/>
      <c r="H13" s="4" t="s">
        <v>65</v>
      </c>
      <c r="I13" s="6"/>
      <c r="J13" s="6" t="n">
        <v>1</v>
      </c>
      <c r="K13" s="6" t="n">
        <v>35.613215</v>
      </c>
      <c r="L13" s="6" t="n">
        <v>116.994561</v>
      </c>
      <c r="M13" s="6"/>
      <c r="N13" s="6"/>
      <c r="O13" s="7" t="s">
        <v>124</v>
      </c>
      <c r="P13" s="7" t="s">
        <v>125</v>
      </c>
      <c r="Q13" s="8"/>
      <c r="R13" s="8"/>
    </row>
    <row r="14" customFormat="false" ht="23.85" hidden="false" customHeight="false" outlineLevel="0" collapsed="false">
      <c r="A14" s="6" t="n">
        <v>705</v>
      </c>
      <c r="B14" s="4" t="s">
        <v>126</v>
      </c>
      <c r="C14" s="6" t="s">
        <v>127</v>
      </c>
      <c r="D14" s="4" t="s">
        <v>70</v>
      </c>
      <c r="E14" s="4" t="s">
        <v>128</v>
      </c>
      <c r="F14" s="6" t="n">
        <v>1994</v>
      </c>
      <c r="G14" s="6"/>
      <c r="H14" s="4" t="s">
        <v>65</v>
      </c>
      <c r="I14" s="6"/>
      <c r="J14" s="6" t="n">
        <v>1</v>
      </c>
      <c r="K14" s="6" t="n">
        <v>32.46667</v>
      </c>
      <c r="L14" s="6" t="n">
        <v>111</v>
      </c>
      <c r="M14" s="6"/>
      <c r="N14" s="6"/>
      <c r="O14" s="7" t="s">
        <v>129</v>
      </c>
      <c r="P14" s="7" t="s">
        <v>130</v>
      </c>
      <c r="Q14" s="8"/>
      <c r="R14" s="8"/>
    </row>
    <row r="15" customFormat="false" ht="15" hidden="false" customHeight="false" outlineLevel="0" collapsed="false">
      <c r="A15" s="6" t="n">
        <v>707</v>
      </c>
      <c r="B15" s="4" t="s">
        <v>131</v>
      </c>
      <c r="C15" s="6" t="s">
        <v>132</v>
      </c>
      <c r="D15" s="4" t="s">
        <v>70</v>
      </c>
      <c r="E15" s="4" t="s">
        <v>123</v>
      </c>
      <c r="F15" s="6" t="n">
        <v>1994</v>
      </c>
      <c r="G15" s="4" t="s">
        <v>133</v>
      </c>
      <c r="H15" s="4" t="s">
        <v>65</v>
      </c>
      <c r="I15" s="6"/>
      <c r="J15" s="6" t="n">
        <v>3</v>
      </c>
      <c r="K15" s="6" t="n">
        <v>29.650248</v>
      </c>
      <c r="L15" s="6" t="n">
        <v>91.133788</v>
      </c>
      <c r="M15" s="6"/>
      <c r="N15" s="6"/>
      <c r="O15" s="7" t="s">
        <v>134</v>
      </c>
      <c r="P15" s="7" t="s">
        <v>135</v>
      </c>
      <c r="Q15" s="8"/>
      <c r="R15" s="8"/>
    </row>
    <row r="16" customFormat="false" ht="15" hidden="false" customHeight="false" outlineLevel="0" collapsed="false">
      <c r="A16" s="6" t="n">
        <v>778</v>
      </c>
      <c r="B16" s="4" t="s">
        <v>136</v>
      </c>
      <c r="C16" s="6" t="s">
        <v>137</v>
      </c>
      <c r="D16" s="4" t="s">
        <v>70</v>
      </c>
      <c r="E16" s="4" t="s">
        <v>138</v>
      </c>
      <c r="F16" s="6" t="n">
        <v>1996</v>
      </c>
      <c r="G16" s="6"/>
      <c r="H16" s="4" t="s">
        <v>65</v>
      </c>
      <c r="I16" s="6"/>
      <c r="J16" s="6" t="n">
        <v>1</v>
      </c>
      <c r="K16" s="6" t="n">
        <v>29.43333333</v>
      </c>
      <c r="L16" s="6" t="n">
        <v>115.8666667</v>
      </c>
      <c r="M16" s="6"/>
      <c r="N16" s="6"/>
      <c r="O16" s="7" t="s">
        <v>139</v>
      </c>
      <c r="P16" s="7" t="s">
        <v>140</v>
      </c>
      <c r="Q16" s="8"/>
      <c r="R16" s="8"/>
    </row>
    <row r="17" customFormat="false" ht="23.85" hidden="false" customHeight="false" outlineLevel="0" collapsed="false">
      <c r="A17" s="6" t="n">
        <v>779</v>
      </c>
      <c r="B17" s="4" t="s">
        <v>141</v>
      </c>
      <c r="C17" s="6" t="s">
        <v>142</v>
      </c>
      <c r="D17" s="4" t="s">
        <v>63</v>
      </c>
      <c r="E17" s="4" t="s">
        <v>143</v>
      </c>
      <c r="F17" s="6" t="n">
        <v>1996</v>
      </c>
      <c r="G17" s="6"/>
      <c r="H17" s="4" t="s">
        <v>65</v>
      </c>
      <c r="I17" s="6"/>
      <c r="J17" s="6" t="n">
        <v>2</v>
      </c>
      <c r="K17" s="6" t="n">
        <v>29.5447222222</v>
      </c>
      <c r="L17" s="6" t="n">
        <v>103.7733333333</v>
      </c>
      <c r="M17" s="6"/>
      <c r="N17" s="6"/>
      <c r="O17" s="7" t="s">
        <v>144</v>
      </c>
      <c r="P17" s="7" t="s">
        <v>145</v>
      </c>
      <c r="Q17" s="8"/>
      <c r="R17" s="8"/>
    </row>
    <row r="18" customFormat="false" ht="15" hidden="false" customHeight="false" outlineLevel="0" collapsed="false">
      <c r="A18" s="6" t="n">
        <v>811</v>
      </c>
      <c r="B18" s="4" t="s">
        <v>146</v>
      </c>
      <c r="C18" s="6" t="s">
        <v>147</v>
      </c>
      <c r="D18" s="4" t="s">
        <v>70</v>
      </c>
      <c r="E18" s="4" t="s">
        <v>148</v>
      </c>
      <c r="F18" s="6" t="n">
        <v>1997</v>
      </c>
      <c r="G18" s="6"/>
      <c r="H18" s="4" t="s">
        <v>65</v>
      </c>
      <c r="I18" s="6"/>
      <c r="J18" s="6" t="n">
        <v>4</v>
      </c>
      <c r="K18" s="6" t="n">
        <v>26.875</v>
      </c>
      <c r="L18" s="6" t="n">
        <v>100.233333333</v>
      </c>
      <c r="M18" s="6"/>
      <c r="N18" s="6"/>
      <c r="O18" s="7" t="s">
        <v>149</v>
      </c>
      <c r="P18" s="7" t="s">
        <v>150</v>
      </c>
      <c r="Q18" s="8"/>
      <c r="R18" s="8"/>
    </row>
    <row r="19" customFormat="false" ht="15" hidden="false" customHeight="false" outlineLevel="0" collapsed="false">
      <c r="A19" s="6" t="n">
        <v>812</v>
      </c>
      <c r="B19" s="4" t="s">
        <v>151</v>
      </c>
      <c r="C19" s="6" t="s">
        <v>152</v>
      </c>
      <c r="D19" s="4" t="s">
        <v>70</v>
      </c>
      <c r="E19" s="4" t="s">
        <v>153</v>
      </c>
      <c r="F19" s="6" t="n">
        <v>1997</v>
      </c>
      <c r="G19" s="6"/>
      <c r="H19" s="4" t="s">
        <v>65</v>
      </c>
      <c r="I19" s="6"/>
      <c r="J19" s="6" t="n">
        <v>3</v>
      </c>
      <c r="K19" s="6" t="n">
        <v>37.170739</v>
      </c>
      <c r="L19" s="6" t="n">
        <v>112.131745</v>
      </c>
      <c r="M19" s="6"/>
      <c r="N19" s="6"/>
      <c r="O19" s="7" t="s">
        <v>154</v>
      </c>
      <c r="P19" s="7" t="s">
        <v>155</v>
      </c>
      <c r="Q19" s="8"/>
      <c r="R19" s="8"/>
    </row>
    <row r="20" customFormat="false" ht="15" hidden="false" customHeight="false" outlineLevel="0" collapsed="false">
      <c r="A20" s="6" t="n">
        <v>813</v>
      </c>
      <c r="B20" s="4" t="s">
        <v>156</v>
      </c>
      <c r="C20" s="6" t="s">
        <v>157</v>
      </c>
      <c r="D20" s="4" t="s">
        <v>70</v>
      </c>
      <c r="E20" s="4" t="s">
        <v>158</v>
      </c>
      <c r="F20" s="6" t="n">
        <v>1997</v>
      </c>
      <c r="G20" s="4" t="s">
        <v>159</v>
      </c>
      <c r="H20" s="4" t="s">
        <v>65</v>
      </c>
      <c r="I20" s="6"/>
      <c r="J20" s="6" t="n">
        <v>9</v>
      </c>
      <c r="K20" s="6" t="n">
        <v>31.157884</v>
      </c>
      <c r="L20" s="6" t="n">
        <v>120.720422</v>
      </c>
      <c r="M20" s="6"/>
      <c r="N20" s="6"/>
      <c r="O20" s="7" t="s">
        <v>160</v>
      </c>
      <c r="P20" s="7" t="s">
        <v>161</v>
      </c>
      <c r="Q20" s="8"/>
      <c r="R20" s="8"/>
    </row>
    <row r="21" customFormat="false" ht="15" hidden="false" customHeight="false" outlineLevel="0" collapsed="false">
      <c r="A21" s="6" t="n">
        <v>880</v>
      </c>
      <c r="B21" s="4" t="s">
        <v>162</v>
      </c>
      <c r="C21" s="6" t="s">
        <v>163</v>
      </c>
      <c r="D21" s="4" t="s">
        <v>70</v>
      </c>
      <c r="E21" s="4" t="s">
        <v>164</v>
      </c>
      <c r="F21" s="6" t="n">
        <v>1998</v>
      </c>
      <c r="G21" s="6"/>
      <c r="H21" s="4" t="s">
        <v>65</v>
      </c>
      <c r="I21" s="6"/>
      <c r="J21" s="6" t="n">
        <v>1</v>
      </c>
      <c r="K21" s="6" t="n">
        <v>39.9969444444</v>
      </c>
      <c r="L21" s="6" t="n">
        <v>116.268027778</v>
      </c>
      <c r="M21" s="6"/>
      <c r="N21" s="6"/>
      <c r="O21" s="7" t="s">
        <v>165</v>
      </c>
      <c r="P21" s="7" t="s">
        <v>166</v>
      </c>
      <c r="Q21" s="8"/>
      <c r="R21" s="8"/>
    </row>
    <row r="22" customFormat="false" ht="23.85" hidden="false" customHeight="false" outlineLevel="0" collapsed="false">
      <c r="A22" s="6" t="n">
        <v>881</v>
      </c>
      <c r="B22" s="4" t="s">
        <v>167</v>
      </c>
      <c r="C22" s="6" t="s">
        <v>168</v>
      </c>
      <c r="D22" s="4" t="s">
        <v>70</v>
      </c>
      <c r="E22" s="4" t="s">
        <v>164</v>
      </c>
      <c r="F22" s="6" t="n">
        <v>1998</v>
      </c>
      <c r="G22" s="6"/>
      <c r="H22" s="4" t="s">
        <v>65</v>
      </c>
      <c r="I22" s="6"/>
      <c r="J22" s="6" t="n">
        <v>1</v>
      </c>
      <c r="K22" s="6" t="n">
        <v>39.8821666667</v>
      </c>
      <c r="L22" s="6" t="n">
        <v>116.406666667</v>
      </c>
      <c r="M22" s="6"/>
      <c r="N22" s="6"/>
      <c r="O22" s="7" t="s">
        <v>169</v>
      </c>
      <c r="P22" s="7" t="s">
        <v>170</v>
      </c>
      <c r="Q22" s="8"/>
      <c r="R22" s="8"/>
    </row>
    <row r="23" customFormat="false" ht="15" hidden="false" customHeight="false" outlineLevel="0" collapsed="false">
      <c r="A23" s="6" t="n">
        <v>911</v>
      </c>
      <c r="B23" s="4" t="s">
        <v>171</v>
      </c>
      <c r="C23" s="6" t="s">
        <v>172</v>
      </c>
      <c r="D23" s="4" t="s">
        <v>63</v>
      </c>
      <c r="E23" s="4" t="s">
        <v>173</v>
      </c>
      <c r="F23" s="6" t="n">
        <v>1999</v>
      </c>
      <c r="G23" s="6"/>
      <c r="H23" s="4" t="s">
        <v>65</v>
      </c>
      <c r="I23" s="6"/>
      <c r="J23" s="6" t="n">
        <v>2</v>
      </c>
      <c r="K23" s="6" t="n">
        <v>27.5544444444</v>
      </c>
      <c r="L23" s="6" t="n">
        <v>118.043055556</v>
      </c>
      <c r="M23" s="6"/>
      <c r="N23" s="6"/>
      <c r="O23" s="7" t="s">
        <v>174</v>
      </c>
      <c r="P23" s="7" t="s">
        <v>175</v>
      </c>
      <c r="Q23" s="8"/>
      <c r="R23" s="8"/>
    </row>
    <row r="24" customFormat="false" ht="15" hidden="false" customHeight="false" outlineLevel="0" collapsed="false">
      <c r="A24" s="6" t="n">
        <v>912</v>
      </c>
      <c r="B24" s="4" t="s">
        <v>176</v>
      </c>
      <c r="C24" s="6" t="s">
        <v>177</v>
      </c>
      <c r="D24" s="4" t="s">
        <v>70</v>
      </c>
      <c r="E24" s="4" t="s">
        <v>164</v>
      </c>
      <c r="F24" s="6" t="n">
        <v>1999</v>
      </c>
      <c r="G24" s="6"/>
      <c r="H24" s="4" t="s">
        <v>65</v>
      </c>
      <c r="I24" s="6"/>
      <c r="J24" s="6" t="n">
        <v>5</v>
      </c>
      <c r="K24" s="6" t="n">
        <v>29.5833333333</v>
      </c>
      <c r="L24" s="6" t="n">
        <v>105.5666666667</v>
      </c>
      <c r="M24" s="6"/>
      <c r="N24" s="6"/>
      <c r="O24" s="7" t="s">
        <v>178</v>
      </c>
      <c r="P24" s="7" t="s">
        <v>179</v>
      </c>
      <c r="Q24" s="8"/>
      <c r="R24" s="8"/>
    </row>
    <row r="25" customFormat="false" ht="23.85" hidden="false" customHeight="false" outlineLevel="0" collapsed="false">
      <c r="A25" s="6" t="n">
        <v>1001</v>
      </c>
      <c r="B25" s="4" t="s">
        <v>180</v>
      </c>
      <c r="C25" s="6" t="s">
        <v>181</v>
      </c>
      <c r="D25" s="4" t="s">
        <v>70</v>
      </c>
      <c r="E25" s="4" t="s">
        <v>182</v>
      </c>
      <c r="F25" s="6" t="n">
        <v>2000</v>
      </c>
      <c r="G25" s="6"/>
      <c r="H25" s="4" t="s">
        <v>65</v>
      </c>
      <c r="I25" s="6"/>
      <c r="J25" s="6" t="n">
        <v>1</v>
      </c>
      <c r="K25" s="6" t="n">
        <v>31.00167</v>
      </c>
      <c r="L25" s="6" t="n">
        <v>103.60528</v>
      </c>
      <c r="M25" s="6"/>
      <c r="N25" s="6"/>
      <c r="O25" s="7" t="s">
        <v>183</v>
      </c>
      <c r="P25" s="7" t="s">
        <v>184</v>
      </c>
      <c r="Q25" s="8"/>
      <c r="R25" s="8"/>
    </row>
    <row r="26" customFormat="false" ht="29.85" hidden="false" customHeight="false" outlineLevel="0" collapsed="false">
      <c r="A26" s="6" t="n">
        <v>1002</v>
      </c>
      <c r="B26" s="4" t="s">
        <v>185</v>
      </c>
      <c r="C26" s="6" t="s">
        <v>186</v>
      </c>
      <c r="D26" s="4" t="s">
        <v>70</v>
      </c>
      <c r="E26" s="4" t="s">
        <v>187</v>
      </c>
      <c r="F26" s="6" t="n">
        <v>2000</v>
      </c>
      <c r="G26" s="6"/>
      <c r="H26" s="4" t="s">
        <v>65</v>
      </c>
      <c r="I26" s="6"/>
      <c r="J26" s="6" t="n">
        <v>2</v>
      </c>
      <c r="K26" s="6" t="n">
        <v>29.9044444444</v>
      </c>
      <c r="L26" s="6" t="n">
        <v>117.9875</v>
      </c>
      <c r="M26" s="6"/>
      <c r="N26" s="6"/>
      <c r="O26" s="7" t="s">
        <v>188</v>
      </c>
      <c r="P26" s="7" t="s">
        <v>189</v>
      </c>
      <c r="Q26" s="8"/>
      <c r="R26" s="8"/>
    </row>
    <row r="27" customFormat="false" ht="15" hidden="false" customHeight="false" outlineLevel="0" collapsed="false">
      <c r="A27" s="6" t="n">
        <v>1003</v>
      </c>
      <c r="B27" s="4" t="s">
        <v>190</v>
      </c>
      <c r="C27" s="6" t="s">
        <v>191</v>
      </c>
      <c r="D27" s="4" t="s">
        <v>70</v>
      </c>
      <c r="E27" s="4" t="s">
        <v>164</v>
      </c>
      <c r="F27" s="6" t="n">
        <v>2000</v>
      </c>
      <c r="G27" s="6"/>
      <c r="H27" s="4" t="s">
        <v>65</v>
      </c>
      <c r="I27" s="6"/>
      <c r="J27" s="6" t="n">
        <v>1</v>
      </c>
      <c r="K27" s="6" t="n">
        <v>34.46666667</v>
      </c>
      <c r="L27" s="6" t="n">
        <v>112.4666667</v>
      </c>
      <c r="M27" s="6"/>
      <c r="N27" s="6"/>
      <c r="O27" s="7" t="s">
        <v>192</v>
      </c>
      <c r="P27" s="7" t="s">
        <v>193</v>
      </c>
      <c r="Q27" s="8"/>
      <c r="R27" s="8"/>
    </row>
    <row r="28" customFormat="false" ht="15" hidden="false" customHeight="false" outlineLevel="0" collapsed="false">
      <c r="A28" s="6" t="n">
        <v>1004</v>
      </c>
      <c r="B28" s="4" t="s">
        <v>194</v>
      </c>
      <c r="C28" s="6" t="s">
        <v>195</v>
      </c>
      <c r="D28" s="4" t="s">
        <v>70</v>
      </c>
      <c r="E28" s="4" t="s">
        <v>71</v>
      </c>
      <c r="F28" s="6" t="n">
        <v>2000</v>
      </c>
      <c r="G28" s="4" t="s">
        <v>196</v>
      </c>
      <c r="H28" s="4" t="s">
        <v>65</v>
      </c>
      <c r="I28" s="6"/>
      <c r="J28" s="6" t="n">
        <v>14</v>
      </c>
      <c r="K28" s="6" t="n">
        <v>31.0166666667</v>
      </c>
      <c r="L28" s="6" t="n">
        <v>112.65</v>
      </c>
      <c r="M28" s="6"/>
      <c r="N28" s="6"/>
      <c r="O28" s="7" t="s">
        <v>197</v>
      </c>
      <c r="P28" s="7" t="s">
        <v>198</v>
      </c>
      <c r="Q28" s="8"/>
      <c r="R28" s="8"/>
    </row>
    <row r="29" customFormat="false" ht="15" hidden="false" customHeight="false" outlineLevel="0" collapsed="false">
      <c r="A29" s="6" t="n">
        <v>1039</v>
      </c>
      <c r="B29" s="4" t="s">
        <v>199</v>
      </c>
      <c r="C29" s="6" t="s">
        <v>200</v>
      </c>
      <c r="D29" s="4" t="s">
        <v>70</v>
      </c>
      <c r="E29" s="4" t="s">
        <v>76</v>
      </c>
      <c r="F29" s="6" t="n">
        <v>2001</v>
      </c>
      <c r="G29" s="6"/>
      <c r="H29" s="4" t="s">
        <v>65</v>
      </c>
      <c r="I29" s="6"/>
      <c r="J29" s="6" t="n">
        <v>1</v>
      </c>
      <c r="K29" s="6" t="n">
        <v>40.10972</v>
      </c>
      <c r="L29" s="6" t="n">
        <v>113.12222</v>
      </c>
      <c r="M29" s="6"/>
      <c r="N29" s="6"/>
      <c r="O29" s="7" t="s">
        <v>201</v>
      </c>
      <c r="P29" s="7" t="s">
        <v>202</v>
      </c>
      <c r="Q29" s="8"/>
      <c r="R29" s="8"/>
    </row>
    <row r="30" customFormat="false" ht="15" hidden="false" customHeight="false" outlineLevel="0" collapsed="false">
      <c r="A30" s="6" t="n">
        <v>1083</v>
      </c>
      <c r="B30" s="4" t="s">
        <v>203</v>
      </c>
      <c r="C30" s="6" t="s">
        <v>204</v>
      </c>
      <c r="D30" s="4" t="s">
        <v>104</v>
      </c>
      <c r="E30" s="4" t="s">
        <v>205</v>
      </c>
      <c r="F30" s="6" t="n">
        <v>2003</v>
      </c>
      <c r="G30" s="6"/>
      <c r="H30" s="4" t="s">
        <v>65</v>
      </c>
      <c r="I30" s="6"/>
      <c r="J30" s="6" t="n">
        <v>1</v>
      </c>
      <c r="K30" s="6" t="n">
        <v>27.895</v>
      </c>
      <c r="L30" s="6" t="n">
        <v>98.40638889</v>
      </c>
      <c r="M30" s="6"/>
      <c r="N30" s="6"/>
      <c r="O30" s="7" t="s">
        <v>206</v>
      </c>
      <c r="P30" s="7" t="s">
        <v>207</v>
      </c>
      <c r="Q30" s="8"/>
      <c r="R30" s="8"/>
    </row>
    <row r="31" customFormat="false" ht="23.85" hidden="false" customHeight="false" outlineLevel="0" collapsed="false">
      <c r="A31" s="6" t="n">
        <v>1135</v>
      </c>
      <c r="B31" s="4" t="s">
        <v>208</v>
      </c>
      <c r="C31" s="6" t="s">
        <v>209</v>
      </c>
      <c r="D31" s="4" t="s">
        <v>70</v>
      </c>
      <c r="E31" s="4" t="s">
        <v>158</v>
      </c>
      <c r="F31" s="6" t="n">
        <v>2004</v>
      </c>
      <c r="G31" s="6"/>
      <c r="H31" s="4" t="s">
        <v>65</v>
      </c>
      <c r="I31" s="6"/>
      <c r="J31" s="6" t="n">
        <v>5</v>
      </c>
      <c r="K31" s="6" t="n">
        <v>41.1387222222</v>
      </c>
      <c r="L31" s="6" t="n">
        <v>126.176194444</v>
      </c>
      <c r="M31" s="6"/>
      <c r="N31" s="6"/>
      <c r="O31" s="7" t="s">
        <v>210</v>
      </c>
      <c r="P31" s="7" t="s">
        <v>211</v>
      </c>
      <c r="Q31" s="8"/>
      <c r="R31" s="8"/>
    </row>
    <row r="32" customFormat="false" ht="23.85" hidden="false" customHeight="false" outlineLevel="0" collapsed="false">
      <c r="A32" s="6" t="n">
        <v>1110</v>
      </c>
      <c r="B32" s="4" t="s">
        <v>212</v>
      </c>
      <c r="C32" s="6" t="s">
        <v>213</v>
      </c>
      <c r="D32" s="4" t="s">
        <v>70</v>
      </c>
      <c r="E32" s="4" t="s">
        <v>138</v>
      </c>
      <c r="F32" s="6" t="n">
        <v>2005</v>
      </c>
      <c r="G32" s="6"/>
      <c r="H32" s="4" t="s">
        <v>65</v>
      </c>
      <c r="I32" s="6"/>
      <c r="J32" s="6" t="n">
        <v>2</v>
      </c>
      <c r="K32" s="6" t="n">
        <v>22.1911111111</v>
      </c>
      <c r="L32" s="6" t="n">
        <v>113.5363888889</v>
      </c>
      <c r="M32" s="4" t="s">
        <v>214</v>
      </c>
      <c r="N32" s="4" t="s">
        <v>215</v>
      </c>
      <c r="O32" s="7" t="s">
        <v>216</v>
      </c>
      <c r="P32" s="7" t="s">
        <v>217</v>
      </c>
      <c r="Q32" s="8"/>
      <c r="R32" s="8"/>
    </row>
    <row r="33" customFormat="false" ht="15" hidden="false" customHeight="false" outlineLevel="0" collapsed="false">
      <c r="A33" s="6" t="n">
        <v>1114</v>
      </c>
      <c r="B33" s="4" t="s">
        <v>218</v>
      </c>
      <c r="C33" s="6" t="s">
        <v>219</v>
      </c>
      <c r="D33" s="4" t="s">
        <v>70</v>
      </c>
      <c r="E33" s="4" t="s">
        <v>138</v>
      </c>
      <c r="F33" s="6" t="n">
        <v>2006</v>
      </c>
      <c r="G33" s="6"/>
      <c r="H33" s="4" t="s">
        <v>65</v>
      </c>
      <c r="I33" s="6"/>
      <c r="J33" s="6" t="n">
        <v>2</v>
      </c>
      <c r="K33" s="6" t="n">
        <v>36.121978</v>
      </c>
      <c r="L33" s="6" t="n">
        <v>114.325162</v>
      </c>
      <c r="M33" s="6"/>
      <c r="N33" s="6"/>
      <c r="O33" s="7" t="s">
        <v>220</v>
      </c>
      <c r="P33" s="7" t="s">
        <v>221</v>
      </c>
      <c r="Q33" s="8"/>
      <c r="R33" s="8"/>
    </row>
    <row r="34" customFormat="false" ht="23.85" hidden="false" customHeight="false" outlineLevel="0" collapsed="false">
      <c r="A34" s="6" t="n">
        <v>1213</v>
      </c>
      <c r="B34" s="4" t="s">
        <v>222</v>
      </c>
      <c r="C34" s="6" t="s">
        <v>223</v>
      </c>
      <c r="D34" s="4" t="s">
        <v>104</v>
      </c>
      <c r="E34" s="4" t="s">
        <v>224</v>
      </c>
      <c r="F34" s="6" t="n">
        <v>2006</v>
      </c>
      <c r="G34" s="6"/>
      <c r="H34" s="4" t="s">
        <v>65</v>
      </c>
      <c r="I34" s="6"/>
      <c r="J34" s="6" t="n">
        <v>1</v>
      </c>
      <c r="K34" s="6" t="n">
        <v>30.8333333333</v>
      </c>
      <c r="L34" s="6" t="n">
        <v>103</v>
      </c>
      <c r="M34" s="6"/>
      <c r="N34" s="6"/>
      <c r="O34" s="7" t="s">
        <v>225</v>
      </c>
      <c r="P34" s="7" t="s">
        <v>226</v>
      </c>
      <c r="Q34" s="8"/>
      <c r="R34" s="8"/>
    </row>
    <row r="35" customFormat="false" ht="35.05" hidden="false" customHeight="false" outlineLevel="0" collapsed="false">
      <c r="A35" s="6" t="n">
        <v>1112</v>
      </c>
      <c r="B35" s="4" t="s">
        <v>227</v>
      </c>
      <c r="C35" s="6" t="s">
        <v>228</v>
      </c>
      <c r="D35" s="4" t="s">
        <v>70</v>
      </c>
      <c r="E35" s="4" t="s">
        <v>153</v>
      </c>
      <c r="F35" s="6" t="n">
        <v>2007</v>
      </c>
      <c r="G35" s="6"/>
      <c r="H35" s="4" t="s">
        <v>65</v>
      </c>
      <c r="I35" s="6"/>
      <c r="J35" s="6" t="n">
        <v>4</v>
      </c>
      <c r="K35" s="6" t="n">
        <v>22.258774</v>
      </c>
      <c r="L35" s="6" t="n">
        <v>112.525727</v>
      </c>
      <c r="M35" s="4" t="s">
        <v>229</v>
      </c>
      <c r="N35" s="4" t="s">
        <v>230</v>
      </c>
      <c r="O35" s="7" t="s">
        <v>231</v>
      </c>
      <c r="P35" s="7" t="s">
        <v>232</v>
      </c>
      <c r="Q35" s="8"/>
      <c r="R35" s="8"/>
    </row>
    <row r="36" customFormat="false" ht="15" hidden="false" customHeight="false" outlineLevel="0" collapsed="false">
      <c r="A36" s="6" t="n">
        <v>1248</v>
      </c>
      <c r="B36" s="4" t="s">
        <v>233</v>
      </c>
      <c r="C36" s="6" t="s">
        <v>234</v>
      </c>
      <c r="D36" s="4" t="s">
        <v>104</v>
      </c>
      <c r="E36" s="4" t="s">
        <v>235</v>
      </c>
      <c r="F36" s="6" t="n">
        <v>2007</v>
      </c>
      <c r="G36" s="4" t="s">
        <v>236</v>
      </c>
      <c r="H36" s="4" t="s">
        <v>65</v>
      </c>
      <c r="I36" s="6"/>
      <c r="J36" s="6" t="n">
        <v>12</v>
      </c>
      <c r="K36" s="6" t="n">
        <v>24.7177777778</v>
      </c>
      <c r="L36" s="6" t="n">
        <v>103.344166667</v>
      </c>
      <c r="M36" s="6"/>
      <c r="N36" s="6"/>
      <c r="O36" s="7" t="s">
        <v>237</v>
      </c>
      <c r="P36" s="7" t="s">
        <v>238</v>
      </c>
      <c r="Q36" s="8"/>
      <c r="R36" s="8"/>
    </row>
    <row r="37" customFormat="false" ht="15" hidden="false" customHeight="false" outlineLevel="0" collapsed="false">
      <c r="A37" s="6" t="n">
        <v>1113</v>
      </c>
      <c r="B37" s="4" t="s">
        <v>239</v>
      </c>
      <c r="C37" s="6" t="s">
        <v>240</v>
      </c>
      <c r="D37" s="4" t="s">
        <v>70</v>
      </c>
      <c r="E37" s="4" t="s">
        <v>187</v>
      </c>
      <c r="F37" s="6" t="n">
        <v>2008</v>
      </c>
      <c r="G37" s="6"/>
      <c r="H37" s="4" t="s">
        <v>65</v>
      </c>
      <c r="I37" s="6"/>
      <c r="J37" s="6" t="n">
        <v>10</v>
      </c>
      <c r="K37" s="6" t="n">
        <v>24.5508333333</v>
      </c>
      <c r="L37" s="6" t="n">
        <v>116.9002777778</v>
      </c>
      <c r="M37" s="6"/>
      <c r="N37" s="6"/>
      <c r="O37" s="7" t="s">
        <v>241</v>
      </c>
      <c r="P37" s="7" t="s">
        <v>242</v>
      </c>
      <c r="Q37" s="8"/>
      <c r="R37" s="8"/>
    </row>
    <row r="38" customFormat="false" ht="15" hidden="false" customHeight="false" outlineLevel="0" collapsed="false">
      <c r="A38" s="6" t="n">
        <v>1292</v>
      </c>
      <c r="B38" s="4" t="s">
        <v>243</v>
      </c>
      <c r="C38" s="6" t="s">
        <v>244</v>
      </c>
      <c r="D38" s="4" t="s">
        <v>104</v>
      </c>
      <c r="E38" s="4" t="s">
        <v>105</v>
      </c>
      <c r="F38" s="6" t="n">
        <v>2008</v>
      </c>
      <c r="G38" s="6"/>
      <c r="H38" s="4" t="s">
        <v>65</v>
      </c>
      <c r="I38" s="6"/>
      <c r="J38" s="6" t="n">
        <v>1</v>
      </c>
      <c r="K38" s="6" t="n">
        <v>28.9158333333</v>
      </c>
      <c r="L38" s="6" t="n">
        <v>118.0644444444</v>
      </c>
      <c r="M38" s="6"/>
      <c r="N38" s="6"/>
      <c r="O38" s="7" t="s">
        <v>245</v>
      </c>
      <c r="P38" s="7" t="s">
        <v>246</v>
      </c>
      <c r="Q38" s="8"/>
      <c r="R38" s="8"/>
    </row>
    <row r="39" customFormat="false" ht="15" hidden="false" customHeight="false" outlineLevel="0" collapsed="false">
      <c r="A39" s="6" t="n">
        <v>1279</v>
      </c>
      <c r="B39" s="4" t="s">
        <v>247</v>
      </c>
      <c r="C39" s="6" t="s">
        <v>248</v>
      </c>
      <c r="D39" s="4" t="s">
        <v>70</v>
      </c>
      <c r="E39" s="4" t="s">
        <v>138</v>
      </c>
      <c r="F39" s="6" t="n">
        <v>2009</v>
      </c>
      <c r="G39" s="6"/>
      <c r="H39" s="4" t="s">
        <v>65</v>
      </c>
      <c r="I39" s="6"/>
      <c r="J39" s="6" t="n">
        <v>2</v>
      </c>
      <c r="K39" s="6" t="n">
        <v>38.8822222222</v>
      </c>
      <c r="L39" s="6" t="n">
        <v>113.3494444444</v>
      </c>
      <c r="M39" s="6"/>
      <c r="N39" s="6"/>
      <c r="O39" s="7" t="s">
        <v>249</v>
      </c>
      <c r="P39" s="7" t="s">
        <v>250</v>
      </c>
      <c r="Q39" s="8"/>
      <c r="R39" s="8"/>
    </row>
    <row r="40" customFormat="false" ht="23.85" hidden="false" customHeight="false" outlineLevel="0" collapsed="false">
      <c r="A40" s="6" t="n">
        <v>1305</v>
      </c>
      <c r="B40" s="4" t="s">
        <v>251</v>
      </c>
      <c r="C40" s="6" t="s">
        <v>252</v>
      </c>
      <c r="D40" s="4" t="s">
        <v>70</v>
      </c>
      <c r="E40" s="4" t="s">
        <v>94</v>
      </c>
      <c r="F40" s="6" t="n">
        <v>2010</v>
      </c>
      <c r="G40" s="6"/>
      <c r="H40" s="4" t="s">
        <v>65</v>
      </c>
      <c r="I40" s="6"/>
      <c r="J40" s="6" t="n">
        <v>8</v>
      </c>
      <c r="K40" s="6" t="n">
        <v>34.3997138889</v>
      </c>
      <c r="L40" s="6" t="n">
        <v>113.1412444444</v>
      </c>
      <c r="M40" s="6"/>
      <c r="N40" s="6"/>
      <c r="O40" s="7" t="s">
        <v>253</v>
      </c>
      <c r="P40" s="7" t="s">
        <v>254</v>
      </c>
      <c r="Q40" s="8"/>
      <c r="R40" s="8"/>
    </row>
    <row r="41" customFormat="false" ht="15" hidden="false" customHeight="false" outlineLevel="0" collapsed="false">
      <c r="A41" s="6" t="n">
        <v>1335</v>
      </c>
      <c r="B41" s="4" t="s">
        <v>255</v>
      </c>
      <c r="C41" s="6" t="s">
        <v>256</v>
      </c>
      <c r="D41" s="4" t="s">
        <v>104</v>
      </c>
      <c r="E41" s="4" t="s">
        <v>235</v>
      </c>
      <c r="F41" s="6" t="n">
        <v>2010</v>
      </c>
      <c r="G41" s="6"/>
      <c r="H41" s="4" t="s">
        <v>65</v>
      </c>
      <c r="I41" s="6"/>
      <c r="J41" s="6" t="n">
        <v>9</v>
      </c>
      <c r="K41" s="6" t="n">
        <v>24.9652777778</v>
      </c>
      <c r="L41" s="6" t="n">
        <v>113.7033333333</v>
      </c>
      <c r="M41" s="6"/>
      <c r="N41" s="6"/>
      <c r="O41" s="7" t="s">
        <v>257</v>
      </c>
      <c r="P41" s="7" t="s">
        <v>258</v>
      </c>
      <c r="Q41" s="8"/>
      <c r="R41" s="8"/>
    </row>
    <row r="42" customFormat="false" ht="15" hidden="false" customHeight="false" outlineLevel="0" collapsed="false">
      <c r="A42" s="6" t="n">
        <v>1334</v>
      </c>
      <c r="B42" s="4" t="s">
        <v>259</v>
      </c>
      <c r="C42" s="6" t="s">
        <v>260</v>
      </c>
      <c r="D42" s="4" t="s">
        <v>70</v>
      </c>
      <c r="E42" s="4" t="s">
        <v>261</v>
      </c>
      <c r="F42" s="6" t="n">
        <v>2011</v>
      </c>
      <c r="G42" s="6"/>
      <c r="H42" s="4" t="s">
        <v>65</v>
      </c>
      <c r="I42" s="6"/>
      <c r="J42" s="6" t="n">
        <v>1</v>
      </c>
      <c r="K42" s="6" t="n">
        <v>30.2375</v>
      </c>
      <c r="L42" s="6" t="n">
        <v>120.1408333333</v>
      </c>
      <c r="M42" s="6"/>
      <c r="N42" s="6"/>
      <c r="O42" s="7" t="s">
        <v>262</v>
      </c>
      <c r="P42" s="7" t="s">
        <v>263</v>
      </c>
      <c r="Q42" s="8"/>
      <c r="R42" s="8"/>
    </row>
    <row r="43" customFormat="false" ht="15" hidden="false" customHeight="false" outlineLevel="0" collapsed="false">
      <c r="A43" s="6" t="n">
        <v>1388</v>
      </c>
      <c r="B43" s="4" t="s">
        <v>264</v>
      </c>
      <c r="C43" s="6" t="s">
        <v>265</v>
      </c>
      <c r="D43" s="4" t="s">
        <v>104</v>
      </c>
      <c r="E43" s="4" t="s">
        <v>266</v>
      </c>
      <c r="F43" s="6" t="n">
        <v>2012</v>
      </c>
      <c r="G43" s="6"/>
      <c r="H43" s="4" t="s">
        <v>65</v>
      </c>
      <c r="I43" s="6"/>
      <c r="J43" s="6" t="n">
        <v>1</v>
      </c>
      <c r="K43" s="6" t="n">
        <v>24.6688888889</v>
      </c>
      <c r="L43" s="6" t="n">
        <v>102.9772222222</v>
      </c>
      <c r="M43" s="6"/>
      <c r="N43" s="6"/>
      <c r="O43" s="7" t="s">
        <v>267</v>
      </c>
      <c r="P43" s="7" t="s">
        <v>268</v>
      </c>
      <c r="Q43" s="8"/>
      <c r="R43" s="8"/>
    </row>
    <row r="44" customFormat="false" ht="23.85" hidden="false" customHeight="false" outlineLevel="0" collapsed="false">
      <c r="A44" s="6" t="n">
        <v>1389</v>
      </c>
      <c r="B44" s="4" t="s">
        <v>269</v>
      </c>
      <c r="C44" s="6" t="s">
        <v>270</v>
      </c>
      <c r="D44" s="4" t="s">
        <v>70</v>
      </c>
      <c r="E44" s="4" t="s">
        <v>138</v>
      </c>
      <c r="F44" s="6" t="n">
        <v>2012</v>
      </c>
      <c r="G44" s="6"/>
      <c r="H44" s="4" t="s">
        <v>65</v>
      </c>
      <c r="I44" s="6"/>
      <c r="J44" s="6" t="n">
        <v>1</v>
      </c>
      <c r="K44" s="6" t="n">
        <v>42.358</v>
      </c>
      <c r="L44" s="6" t="n">
        <v>116.1851277778</v>
      </c>
      <c r="M44" s="4" t="s">
        <v>271</v>
      </c>
      <c r="N44" s="4" t="s">
        <v>272</v>
      </c>
      <c r="O44" s="7" t="s">
        <v>273</v>
      </c>
      <c r="P44" s="7" t="s">
        <v>274</v>
      </c>
      <c r="Q44" s="8"/>
      <c r="R44" s="8"/>
    </row>
    <row r="45" customFormat="false" ht="15" hidden="false" customHeight="false" outlineLevel="0" collapsed="false">
      <c r="A45" s="6" t="n">
        <v>1111</v>
      </c>
      <c r="B45" s="4" t="s">
        <v>275</v>
      </c>
      <c r="C45" s="6"/>
      <c r="D45" s="4" t="s">
        <v>70</v>
      </c>
      <c r="E45" s="4" t="s">
        <v>276</v>
      </c>
      <c r="F45" s="6" t="n">
        <v>2013</v>
      </c>
      <c r="G45" s="6"/>
      <c r="H45" s="4" t="s">
        <v>65</v>
      </c>
      <c r="I45" s="6"/>
      <c r="J45" s="6" t="n">
        <v>1</v>
      </c>
      <c r="K45" s="6" t="n">
        <v>23.0932777778</v>
      </c>
      <c r="L45" s="6" t="n">
        <v>102.7799805556</v>
      </c>
      <c r="M45" s="6"/>
      <c r="N45" s="6"/>
      <c r="O45" s="7" t="s">
        <v>277</v>
      </c>
      <c r="P45" s="7" t="s">
        <v>278</v>
      </c>
      <c r="Q45" s="8"/>
      <c r="R45" s="8"/>
    </row>
    <row r="46" customFormat="false" ht="15" hidden="false" customHeight="false" outlineLevel="0" collapsed="false">
      <c r="A46" s="6" t="n">
        <v>1414</v>
      </c>
      <c r="B46" s="4" t="s">
        <v>279</v>
      </c>
      <c r="C46" s="6"/>
      <c r="D46" s="4" t="s">
        <v>104</v>
      </c>
      <c r="E46" s="4" t="s">
        <v>280</v>
      </c>
      <c r="F46" s="6" t="n">
        <v>2013</v>
      </c>
      <c r="G46" s="6"/>
      <c r="H46" s="4" t="s">
        <v>65</v>
      </c>
      <c r="I46" s="6"/>
      <c r="J46" s="6" t="n">
        <v>4</v>
      </c>
      <c r="K46" s="6" t="n">
        <v>41.9683333333</v>
      </c>
      <c r="L46" s="6" t="n">
        <v>80.3541666667</v>
      </c>
      <c r="M46" s="6"/>
      <c r="N46" s="6"/>
      <c r="O46" s="7" t="s">
        <v>281</v>
      </c>
      <c r="P46" s="7" t="s">
        <v>282</v>
      </c>
      <c r="Q46" s="8"/>
      <c r="R46" s="8"/>
    </row>
    <row r="47" customFormat="false" ht="35.05" hidden="false" customHeight="false" outlineLevel="0" collapsed="false">
      <c r="A47" s="6" t="n">
        <v>1442</v>
      </c>
      <c r="B47" s="4" t="s">
        <v>283</v>
      </c>
      <c r="C47" s="6"/>
      <c r="D47" s="4" t="s">
        <v>70</v>
      </c>
      <c r="E47" s="4" t="s">
        <v>284</v>
      </c>
      <c r="F47" s="6" t="n">
        <v>2014</v>
      </c>
      <c r="G47" s="6"/>
      <c r="H47" s="4" t="s">
        <v>285</v>
      </c>
      <c r="I47" s="4" t="s">
        <v>286</v>
      </c>
      <c r="J47" s="6" t="n">
        <v>33</v>
      </c>
      <c r="K47" s="6" t="n">
        <v>33.1588888889</v>
      </c>
      <c r="L47" s="6" t="n">
        <v>107.291111111</v>
      </c>
      <c r="M47" s="4" t="s">
        <v>83</v>
      </c>
      <c r="N47" s="4" t="s">
        <v>287</v>
      </c>
      <c r="O47" s="7" t="s">
        <v>288</v>
      </c>
      <c r="P47" s="7" t="s">
        <v>289</v>
      </c>
      <c r="Q47" s="8"/>
      <c r="R47" s="8"/>
    </row>
    <row r="48" customFormat="false" ht="15" hidden="false" customHeight="false" outlineLevel="0" collapsed="false">
      <c r="A48" s="6" t="n">
        <v>1443</v>
      </c>
      <c r="B48" s="4" t="s">
        <v>290</v>
      </c>
      <c r="C48" s="6"/>
      <c r="D48" s="4" t="s">
        <v>70</v>
      </c>
      <c r="E48" s="4" t="s">
        <v>89</v>
      </c>
      <c r="F48" s="6" t="n">
        <v>2014</v>
      </c>
      <c r="G48" s="6"/>
      <c r="H48" s="4" t="s">
        <v>65</v>
      </c>
      <c r="I48" s="6"/>
      <c r="J48" s="6" t="n">
        <v>31</v>
      </c>
      <c r="K48" s="6" t="n">
        <v>29.8747222222</v>
      </c>
      <c r="L48" s="6" t="n">
        <v>121.557222222</v>
      </c>
      <c r="M48" s="6"/>
      <c r="N48" s="6"/>
      <c r="O48" s="7" t="s">
        <v>291</v>
      </c>
      <c r="P48" s="7" t="s">
        <v>292</v>
      </c>
      <c r="Q48" s="8"/>
      <c r="R48" s="8"/>
    </row>
    <row r="49" customFormat="false" ht="15" hidden="false" customHeight="false" outlineLevel="0" collapsed="false">
      <c r="A49" s="6" t="n">
        <v>1474</v>
      </c>
      <c r="B49" s="4" t="s">
        <v>293</v>
      </c>
      <c r="C49" s="6" t="s">
        <v>294</v>
      </c>
      <c r="D49" s="4" t="s">
        <v>70</v>
      </c>
      <c r="E49" s="4" t="s">
        <v>295</v>
      </c>
      <c r="F49" s="6" t="n">
        <v>2015</v>
      </c>
      <c r="G49" s="6"/>
      <c r="H49" s="4" t="s">
        <v>65</v>
      </c>
      <c r="I49" s="6"/>
      <c r="J49" s="6" t="n">
        <v>3</v>
      </c>
      <c r="K49" s="6" t="n">
        <v>27.8116666667</v>
      </c>
      <c r="L49" s="6" t="n">
        <v>106.8169444444</v>
      </c>
      <c r="M49" s="6"/>
      <c r="N49" s="6"/>
      <c r="O49" s="7" t="s">
        <v>296</v>
      </c>
      <c r="P49" s="7" t="s">
        <v>297</v>
      </c>
      <c r="Q49" s="8"/>
      <c r="R49" s="8"/>
    </row>
    <row r="50" customFormat="false" ht="15" hidden="false" customHeight="false" outlineLevel="0" collapsed="false">
      <c r="A50" s="6" t="n">
        <v>1508</v>
      </c>
      <c r="B50" s="4" t="s">
        <v>298</v>
      </c>
      <c r="C50" s="6" t="s">
        <v>299</v>
      </c>
      <c r="D50" s="4" t="s">
        <v>70</v>
      </c>
      <c r="E50" s="4" t="s">
        <v>94</v>
      </c>
      <c r="F50" s="6" t="n">
        <v>2016</v>
      </c>
      <c r="G50" s="6"/>
      <c r="H50" s="4" t="s">
        <v>65</v>
      </c>
      <c r="I50" s="6"/>
      <c r="J50" s="6" t="n">
        <v>3</v>
      </c>
      <c r="K50" s="6" t="n">
        <v>22.2555555556</v>
      </c>
      <c r="L50" s="6" t="n">
        <v>107.031388889</v>
      </c>
      <c r="M50" s="6"/>
      <c r="N50" s="6"/>
      <c r="O50" s="7" t="s">
        <v>300</v>
      </c>
      <c r="P50" s="7" t="s">
        <v>301</v>
      </c>
      <c r="Q50" s="8"/>
      <c r="R50" s="8"/>
    </row>
    <row r="51" customFormat="false" ht="15" hidden="false" customHeight="false" outlineLevel="0" collapsed="false">
      <c r="A51" s="6" t="n">
        <v>1509</v>
      </c>
      <c r="B51" s="4" t="s">
        <v>302</v>
      </c>
      <c r="C51" s="6" t="s">
        <v>303</v>
      </c>
      <c r="D51" s="4" t="s">
        <v>104</v>
      </c>
      <c r="E51" s="4" t="s">
        <v>304</v>
      </c>
      <c r="F51" s="6" t="n">
        <v>2016</v>
      </c>
      <c r="G51" s="6"/>
      <c r="H51" s="4" t="s">
        <v>65</v>
      </c>
      <c r="I51" s="6"/>
      <c r="J51" s="6" t="n">
        <v>2</v>
      </c>
      <c r="K51" s="6" t="n">
        <v>31.4630555556</v>
      </c>
      <c r="L51" s="6" t="n">
        <v>110.509166667</v>
      </c>
      <c r="M51" s="6"/>
      <c r="N51" s="6"/>
      <c r="O51" s="7" t="s">
        <v>305</v>
      </c>
      <c r="P51" s="7" t="s">
        <v>306</v>
      </c>
      <c r="Q51" s="8"/>
      <c r="R51" s="8"/>
    </row>
    <row r="52" customFormat="false" ht="15" hidden="false" customHeight="false" outlineLevel="0" collapsed="false">
      <c r="A52" s="6" t="n">
        <v>1540</v>
      </c>
      <c r="B52" s="4" t="s">
        <v>307</v>
      </c>
      <c r="C52" s="6"/>
      <c r="D52" s="4" t="s">
        <v>104</v>
      </c>
      <c r="E52" s="4" t="s">
        <v>308</v>
      </c>
      <c r="F52" s="6" t="n">
        <v>2017</v>
      </c>
      <c r="G52" s="6"/>
      <c r="H52" s="4" t="s">
        <v>65</v>
      </c>
      <c r="I52" s="6"/>
      <c r="J52" s="6" t="n">
        <v>1</v>
      </c>
      <c r="K52" s="6" t="n">
        <v>35.3802777778</v>
      </c>
      <c r="L52" s="6" t="n">
        <v>92.4391666667</v>
      </c>
      <c r="M52" s="6"/>
      <c r="N52" s="6"/>
      <c r="O52" s="7" t="s">
        <v>309</v>
      </c>
      <c r="P52" s="7" t="s">
        <v>310</v>
      </c>
      <c r="Q52" s="8"/>
      <c r="R52" s="8"/>
    </row>
    <row r="53" customFormat="false" ht="23.85" hidden="false" customHeight="false" outlineLevel="0" collapsed="false">
      <c r="A53" s="6" t="n">
        <v>1541</v>
      </c>
      <c r="B53" s="4" t="s">
        <v>311</v>
      </c>
      <c r="C53" s="6"/>
      <c r="D53" s="4" t="s">
        <v>70</v>
      </c>
      <c r="E53" s="4" t="s">
        <v>118</v>
      </c>
      <c r="F53" s="6" t="n">
        <v>2017</v>
      </c>
      <c r="G53" s="6"/>
      <c r="H53" s="4" t="s">
        <v>65</v>
      </c>
      <c r="I53" s="6"/>
      <c r="J53" s="6" t="n">
        <v>1</v>
      </c>
      <c r="K53" s="6" t="n">
        <v>24.4475</v>
      </c>
      <c r="L53" s="6" t="n">
        <v>118.0619444444</v>
      </c>
      <c r="M53" s="4" t="s">
        <v>312</v>
      </c>
      <c r="N53" s="4" t="s">
        <v>313</v>
      </c>
      <c r="O53" s="7" t="s">
        <v>314</v>
      </c>
      <c r="P53" s="7" t="s">
        <v>315</v>
      </c>
      <c r="Q53" s="8"/>
      <c r="R53" s="8"/>
    </row>
    <row r="54" customFormat="false" ht="15" hidden="false" customHeight="false" outlineLevel="0" collapsed="false">
      <c r="A54" s="6" t="n">
        <v>1559</v>
      </c>
      <c r="B54" s="4" t="s">
        <v>316</v>
      </c>
      <c r="C54" s="6" t="s">
        <v>317</v>
      </c>
      <c r="D54" s="4" t="s">
        <v>104</v>
      </c>
      <c r="E54" s="4" t="s">
        <v>224</v>
      </c>
      <c r="F54" s="6" t="n">
        <v>2018</v>
      </c>
      <c r="G54" s="6"/>
      <c r="H54" s="4" t="s">
        <v>65</v>
      </c>
      <c r="I54" s="6"/>
      <c r="J54" s="6" t="n">
        <v>1</v>
      </c>
      <c r="K54" s="6" t="n">
        <v>27.8955555556</v>
      </c>
      <c r="L54" s="6" t="n">
        <v>108.68</v>
      </c>
      <c r="M54" s="6"/>
      <c r="N54" s="6"/>
      <c r="O54" s="7" t="s">
        <v>318</v>
      </c>
      <c r="P54" s="7" t="s">
        <v>319</v>
      </c>
      <c r="Q54" s="8"/>
      <c r="R54" s="8"/>
    </row>
    <row r="55" customFormat="false" ht="15" hidden="false" customHeight="false" outlineLevel="0" collapsed="false">
      <c r="A55" s="6" t="n">
        <v>1592</v>
      </c>
      <c r="B55" s="4" t="s">
        <v>320</v>
      </c>
      <c r="C55" s="6" t="s">
        <v>321</v>
      </c>
      <c r="D55" s="4" t="s">
        <v>70</v>
      </c>
      <c r="E55" s="4" t="s">
        <v>322</v>
      </c>
      <c r="F55" s="6" t="n">
        <v>2019</v>
      </c>
      <c r="G55" s="6"/>
      <c r="H55" s="4" t="s">
        <v>65</v>
      </c>
      <c r="I55" s="6"/>
      <c r="J55" s="6" t="n">
        <v>4</v>
      </c>
      <c r="K55" s="6" t="n">
        <v>30.39555</v>
      </c>
      <c r="L55" s="6" t="n">
        <v>119.990827778</v>
      </c>
      <c r="M55" s="6"/>
      <c r="N55" s="6"/>
      <c r="O55" s="7" t="s">
        <v>323</v>
      </c>
      <c r="P55" s="7" t="s">
        <v>324</v>
      </c>
      <c r="Q55" s="8"/>
      <c r="R55" s="8"/>
    </row>
    <row r="56" customFormat="false" ht="23.85" hidden="false" customHeight="false" outlineLevel="0" collapsed="false">
      <c r="A56" s="6" t="n">
        <v>1606</v>
      </c>
      <c r="B56" s="4" t="s">
        <v>325</v>
      </c>
      <c r="C56" s="6" t="s">
        <v>326</v>
      </c>
      <c r="D56" s="4" t="s">
        <v>104</v>
      </c>
      <c r="E56" s="4" t="s">
        <v>224</v>
      </c>
      <c r="F56" s="6" t="n">
        <v>2019</v>
      </c>
      <c r="G56" s="4" t="s">
        <v>327</v>
      </c>
      <c r="H56" s="4" t="s">
        <v>65</v>
      </c>
      <c r="I56" s="6"/>
      <c r="J56" s="6" t="n">
        <v>12</v>
      </c>
      <c r="K56" s="6" t="n">
        <v>31.5129166667</v>
      </c>
      <c r="L56" s="6" t="n">
        <v>121.999388889</v>
      </c>
      <c r="M56" s="6"/>
      <c r="N56" s="6"/>
      <c r="O56" s="7" t="s">
        <v>328</v>
      </c>
      <c r="P56" s="7" t="s">
        <v>329</v>
      </c>
      <c r="Q56" s="8"/>
      <c r="R56" s="8"/>
    </row>
    <row r="57" customFormat="false" ht="35.05" hidden="false" customHeight="false" outlineLevel="0" collapsed="false">
      <c r="A57" s="6" t="n">
        <v>1561</v>
      </c>
      <c r="B57" s="4" t="s">
        <v>330</v>
      </c>
      <c r="C57" s="6" t="s">
        <v>331</v>
      </c>
      <c r="D57" s="4" t="s">
        <v>70</v>
      </c>
      <c r="E57" s="4" t="s">
        <v>332</v>
      </c>
      <c r="F57" s="6" t="n">
        <v>2021</v>
      </c>
      <c r="G57" s="6"/>
      <c r="H57" s="4" t="s">
        <v>65</v>
      </c>
      <c r="I57" s="6"/>
      <c r="J57" s="6" t="n">
        <v>16</v>
      </c>
      <c r="K57" s="6" t="n">
        <v>24.7102777778</v>
      </c>
      <c r="L57" s="6" t="n">
        <v>118.444166667</v>
      </c>
      <c r="M57" s="4" t="s">
        <v>333</v>
      </c>
      <c r="N57" s="4" t="s">
        <v>334</v>
      </c>
      <c r="O57" s="7" t="s">
        <v>335</v>
      </c>
      <c r="P57" s="7" t="s">
        <v>336</v>
      </c>
      <c r="Q57" s="8"/>
      <c r="R57" s="8"/>
    </row>
    <row r="58" customFormat="false" ht="23.85" hidden="false" customHeight="false" outlineLevel="0" collapsed="false">
      <c r="A58" s="6" t="n">
        <v>1665</v>
      </c>
      <c r="B58" s="4" t="s">
        <v>337</v>
      </c>
      <c r="C58" s="6" t="s">
        <v>338</v>
      </c>
      <c r="D58" s="4" t="s">
        <v>70</v>
      </c>
      <c r="E58" s="4" t="s">
        <v>276</v>
      </c>
      <c r="F58" s="6" t="n">
        <v>2023</v>
      </c>
      <c r="G58" s="6"/>
      <c r="H58" s="4" t="s">
        <v>65</v>
      </c>
      <c r="I58" s="6"/>
      <c r="J58" s="6" t="n">
        <v>1</v>
      </c>
      <c r="K58" s="6" t="n">
        <v>22.1841666667</v>
      </c>
      <c r="L58" s="6" t="n">
        <v>100.0075</v>
      </c>
      <c r="M58" s="6"/>
      <c r="N58" s="6"/>
      <c r="O58" s="7" t="s">
        <v>339</v>
      </c>
      <c r="P58" s="7" t="s">
        <v>340</v>
      </c>
      <c r="Q58" s="8"/>
      <c r="R58" s="8"/>
    </row>
    <row r="59" customFormat="false" ht="15" hidden="false" customHeight="false" outlineLevel="0" collapsed="false">
      <c r="A59" s="6" t="n">
        <v>1638</v>
      </c>
      <c r="B59" s="4" t="s">
        <v>341</v>
      </c>
      <c r="C59" s="6" t="s">
        <v>342</v>
      </c>
      <c r="D59" s="4" t="s">
        <v>104</v>
      </c>
      <c r="E59" s="4" t="s">
        <v>235</v>
      </c>
      <c r="F59" s="6" t="n">
        <v>2024</v>
      </c>
      <c r="G59" s="6"/>
      <c r="H59" s="4" t="s">
        <v>65</v>
      </c>
      <c r="I59" s="6"/>
      <c r="J59" s="6" t="n">
        <v>1</v>
      </c>
      <c r="K59" s="6" t="n">
        <v>39.8897222222</v>
      </c>
      <c r="L59" s="6" t="n">
        <v>102.2894444444</v>
      </c>
      <c r="M59" s="6"/>
      <c r="N59" s="6"/>
      <c r="O59" s="7" t="s">
        <v>343</v>
      </c>
      <c r="P59" s="7" t="s">
        <v>344</v>
      </c>
      <c r="Q59" s="8"/>
      <c r="R59" s="8"/>
    </row>
    <row r="60" customFormat="false" ht="29.85" hidden="false" customHeight="false" outlineLevel="0" collapsed="false">
      <c r="A60" s="6" t="n">
        <v>1714</v>
      </c>
      <c r="B60" s="4" t="s">
        <v>345</v>
      </c>
      <c r="C60" s="6" t="s">
        <v>346</v>
      </c>
      <c r="D60" s="4" t="s">
        <v>70</v>
      </c>
      <c r="E60" s="4" t="s">
        <v>322</v>
      </c>
      <c r="F60" s="6" t="n">
        <v>2024</v>
      </c>
      <c r="G60" s="6"/>
      <c r="H60" s="4" t="s">
        <v>65</v>
      </c>
      <c r="I60" s="6"/>
      <c r="J60" s="6" t="n">
        <v>1</v>
      </c>
      <c r="K60" s="6" t="n">
        <v>39.9072222222</v>
      </c>
      <c r="L60" s="6" t="n">
        <v>116.3913888889</v>
      </c>
      <c r="M60" s="6"/>
      <c r="N60" s="6"/>
      <c r="O60" s="7" t="s">
        <v>347</v>
      </c>
      <c r="P60" s="7" t="s">
        <v>348</v>
      </c>
      <c r="Q60" s="8"/>
      <c r="R60" s="8"/>
    </row>
    <row r="61" customFormat="false" ht="23.85" hidden="false" customHeight="false" outlineLevel="0" collapsed="false">
      <c r="A61" s="6" t="n">
        <v>1736</v>
      </c>
      <c r="B61" s="4" t="s">
        <v>349</v>
      </c>
      <c r="C61" s="6" t="s">
        <v>350</v>
      </c>
      <c r="D61" s="4" t="s">
        <v>70</v>
      </c>
      <c r="E61" s="4" t="s">
        <v>295</v>
      </c>
      <c r="F61" s="6" t="n">
        <v>2025</v>
      </c>
      <c r="G61" s="6"/>
      <c r="H61" s="4" t="s">
        <v>65</v>
      </c>
      <c r="I61" s="6"/>
      <c r="J61" s="6" t="n">
        <v>1</v>
      </c>
      <c r="K61" s="6" t="n">
        <v>38.4158333333</v>
      </c>
      <c r="L61" s="6" t="n">
        <v>105.9711111111</v>
      </c>
      <c r="M61" s="4" t="s">
        <v>83</v>
      </c>
      <c r="N61" s="4" t="s">
        <v>351</v>
      </c>
      <c r="O61" s="7" t="s">
        <v>352</v>
      </c>
      <c r="P61" s="7" t="s">
        <v>353</v>
      </c>
      <c r="Q61" s="8"/>
      <c r="R61" s="8"/>
    </row>
    <row r="62" customFormat="false" ht="35.05" hidden="false" customHeight="false" outlineLevel="0" collapsed="false">
      <c r="A62" s="6" t="n">
        <v>1765</v>
      </c>
      <c r="B62" s="4" t="s">
        <v>354</v>
      </c>
      <c r="C62" s="6" t="s">
        <v>355</v>
      </c>
      <c r="D62" s="4" t="s">
        <v>70</v>
      </c>
      <c r="E62" s="4" t="s">
        <v>138</v>
      </c>
      <c r="F62" s="6" t="n">
        <v>2026</v>
      </c>
      <c r="G62" s="6"/>
      <c r="H62" s="4" t="s">
        <v>65</v>
      </c>
      <c r="I62" s="6"/>
      <c r="J62" s="6" t="n">
        <v>5</v>
      </c>
      <c r="K62" s="6" t="n">
        <v>29.2863888889</v>
      </c>
      <c r="L62" s="6" t="n">
        <v>117.243333333</v>
      </c>
      <c r="M62" s="4" t="s">
        <v>356</v>
      </c>
      <c r="N62" s="4" t="s">
        <v>357</v>
      </c>
      <c r="O62" s="7" t="s">
        <v>358</v>
      </c>
      <c r="P62" s="7" t="s">
        <v>359</v>
      </c>
      <c r="Q62" s="8"/>
      <c r="R62" s="8"/>
    </row>
  </sheetData>
  <autoFilter ref="A1:R62"/>
  <hyperlinks>
    <hyperlink ref="O2" r:id="rId1" display="https://whc.unesco.org/en/list/437/"/>
    <hyperlink ref="P2" r:id="rId2" display="https://whc.unesco.org/en/list/437/documents/"/>
    <hyperlink ref="O3" r:id="rId3" display="https://whc.unesco.org/en/list/438/"/>
    <hyperlink ref="P3" r:id="rId4" display="https://whc.unesco.org/en/list/438/documents/"/>
    <hyperlink ref="O4" r:id="rId5" display="https://whc.unesco.org/en/list/439/"/>
    <hyperlink ref="P4" r:id="rId6" display="https://whc.unesco.org/en/list/439/documents/"/>
    <hyperlink ref="O5" r:id="rId7" display="https://whc.unesco.org/en/list/440/"/>
    <hyperlink ref="P5" r:id="rId8" display="https://whc.unesco.org/en/list/440/documents/"/>
    <hyperlink ref="O6" r:id="rId9" display="https://whc.unesco.org/en/list/441/"/>
    <hyperlink ref="P6" r:id="rId10" display="https://whc.unesco.org/en/list/441/documents/"/>
    <hyperlink ref="O7" r:id="rId11" display="https://whc.unesco.org/en/list/449/"/>
    <hyperlink ref="P7" r:id="rId12" display="https://whc.unesco.org/en/list/449/documents/"/>
    <hyperlink ref="O8" r:id="rId13" display="https://whc.unesco.org/en/list/547/"/>
    <hyperlink ref="P8" r:id="rId14" display="https://whc.unesco.org/en/list/547/documents/"/>
    <hyperlink ref="O9" r:id="rId15" display="https://whc.unesco.org/en/list/637/"/>
    <hyperlink ref="P9" r:id="rId16" display="https://whc.unesco.org/en/list/637/documents/"/>
    <hyperlink ref="O10" r:id="rId17" display="https://whc.unesco.org/en/list/638/"/>
    <hyperlink ref="P10" r:id="rId18" display="https://whc.unesco.org/en/list/638/documents/"/>
    <hyperlink ref="O11" r:id="rId19" display="https://whc.unesco.org/en/list/640/"/>
    <hyperlink ref="P11" r:id="rId20" display="https://whc.unesco.org/en/list/640/documents/"/>
    <hyperlink ref="O12" r:id="rId21" display="https://whc.unesco.org/en/list/703/"/>
    <hyperlink ref="P12" r:id="rId22" display="https://whc.unesco.org/en/list/703/documents/"/>
    <hyperlink ref="O13" r:id="rId23" display="https://whc.unesco.org/en/list/704/"/>
    <hyperlink ref="P13" r:id="rId24" display="https://whc.unesco.org/en/list/704/documents/"/>
    <hyperlink ref="O14" r:id="rId25" display="https://whc.unesco.org/en/list/705/"/>
    <hyperlink ref="P14" r:id="rId26" display="https://whc.unesco.org/en/list/705/documents/"/>
    <hyperlink ref="O15" r:id="rId27" display="https://whc.unesco.org/en/list/707/"/>
    <hyperlink ref="P15" r:id="rId28" display="https://whc.unesco.org/en/list/707/documents/"/>
    <hyperlink ref="O16" r:id="rId29" display="https://whc.unesco.org/en/list/778/"/>
    <hyperlink ref="P16" r:id="rId30" display="https://whc.unesco.org/en/list/778/documents/"/>
    <hyperlink ref="O17" r:id="rId31" display="https://whc.unesco.org/en/list/779/"/>
    <hyperlink ref="P17" r:id="rId32" display="https://whc.unesco.org/en/list/779/documents/"/>
    <hyperlink ref="O18" r:id="rId33" display="https://whc.unesco.org/en/list/811/"/>
    <hyperlink ref="P18" r:id="rId34" display="https://whc.unesco.org/en/list/811/documents/"/>
    <hyperlink ref="O19" r:id="rId35" display="https://whc.unesco.org/en/list/812/"/>
    <hyperlink ref="P19" r:id="rId36" display="https://whc.unesco.org/en/list/812/documents/"/>
    <hyperlink ref="O20" r:id="rId37" display="https://whc.unesco.org/en/list/813/"/>
    <hyperlink ref="P20" r:id="rId38" display="https://whc.unesco.org/en/list/813/documents/"/>
    <hyperlink ref="O21" r:id="rId39" display="https://whc.unesco.org/en/list/880/"/>
    <hyperlink ref="P21" r:id="rId40" display="https://whc.unesco.org/en/list/880/documents/"/>
    <hyperlink ref="O22" r:id="rId41" display="https://whc.unesco.org/en/list/881/"/>
    <hyperlink ref="P22" r:id="rId42" display="https://whc.unesco.org/en/list/881/documents/"/>
    <hyperlink ref="O23" r:id="rId43" display="https://whc.unesco.org/en/list/911/"/>
    <hyperlink ref="P23" r:id="rId44" display="https://whc.unesco.org/en/list/911/documents/"/>
    <hyperlink ref="O24" r:id="rId45" display="https://whc.unesco.org/en/list/912/"/>
    <hyperlink ref="P24" r:id="rId46" display="https://whc.unesco.org/en/list/912/documents/"/>
    <hyperlink ref="O25" r:id="rId47" display="https://whc.unesco.org/en/list/1001/"/>
    <hyperlink ref="P25" r:id="rId48" display="https://whc.unesco.org/en/list/1001/documents/"/>
    <hyperlink ref="O26" r:id="rId49" display="https://whc.unesco.org/en/list/1002/"/>
    <hyperlink ref="P26" r:id="rId50" display="https://whc.unesco.org/en/list/1002/documents/"/>
    <hyperlink ref="O27" r:id="rId51" display="https://whc.unesco.org/en/list/1003/"/>
    <hyperlink ref="P27" r:id="rId52" display="https://whc.unesco.org/en/list/1003/documents/"/>
    <hyperlink ref="O28" r:id="rId53" display="https://whc.unesco.org/en/list/1004/"/>
    <hyperlink ref="P28" r:id="rId54" display="https://whc.unesco.org/en/list/1004/documents/"/>
    <hyperlink ref="O29" r:id="rId55" display="https://whc.unesco.org/en/list/1039/"/>
    <hyperlink ref="P29" r:id="rId56" display="https://whc.unesco.org/en/list/1039/documents/"/>
    <hyperlink ref="O30" r:id="rId57" display="https://whc.unesco.org/en/list/1083/"/>
    <hyperlink ref="P30" r:id="rId58" display="https://whc.unesco.org/en/list/1083/documents/"/>
    <hyperlink ref="O31" r:id="rId59" display="https://whc.unesco.org/en/list/1135/"/>
    <hyperlink ref="P31" r:id="rId60" display="https://whc.unesco.org/en/list/1135/documents/"/>
    <hyperlink ref="O32" r:id="rId61" display="https://whc.unesco.org/en/list/1110/"/>
    <hyperlink ref="P32" r:id="rId62" display="https://whc.unesco.org/en/list/1110/documents/"/>
    <hyperlink ref="O33" r:id="rId63" display="https://whc.unesco.org/en/list/1114/"/>
    <hyperlink ref="P33" r:id="rId64" display="https://whc.unesco.org/en/list/1114/documents/"/>
    <hyperlink ref="O34" r:id="rId65" display="https://whc.unesco.org/en/list/1213/"/>
    <hyperlink ref="P34" r:id="rId66" display="https://whc.unesco.org/en/list/1213/documents/"/>
    <hyperlink ref="O35" r:id="rId67" display="https://whc.unesco.org/en/list/1112/"/>
    <hyperlink ref="P35" r:id="rId68" display="https://whc.unesco.org/en/list/1112/documents/"/>
    <hyperlink ref="O36" r:id="rId69" display="https://whc.unesco.org/en/list/1248/"/>
    <hyperlink ref="P36" r:id="rId70" display="https://whc.unesco.org/en/list/1248/documents/"/>
    <hyperlink ref="O37" r:id="rId71" display="https://whc.unesco.org/en/list/1113/"/>
    <hyperlink ref="P37" r:id="rId72" display="https://whc.unesco.org/en/list/1113/documents/"/>
    <hyperlink ref="O38" r:id="rId73" display="https://whc.unesco.org/en/list/1292/"/>
    <hyperlink ref="P38" r:id="rId74" display="https://whc.unesco.org/en/list/1292/documents/"/>
    <hyperlink ref="O39" r:id="rId75" display="https://whc.unesco.org/en/list/1279/"/>
    <hyperlink ref="P39" r:id="rId76" display="https://whc.unesco.org/en/list/1279/documents/"/>
    <hyperlink ref="O40" r:id="rId77" display="https://whc.unesco.org/en/list/1305/"/>
    <hyperlink ref="P40" r:id="rId78" display="https://whc.unesco.org/en/list/1305/documents/"/>
    <hyperlink ref="O41" r:id="rId79" display="https://whc.unesco.org/en/list/1335/"/>
    <hyperlink ref="P41" r:id="rId80" display="https://whc.unesco.org/en/list/1335/documents/"/>
    <hyperlink ref="O42" r:id="rId81" display="https://whc.unesco.org/en/list/1334/"/>
    <hyperlink ref="P42" r:id="rId82" display="https://whc.unesco.org/en/list/1334/documents/"/>
    <hyperlink ref="O43" r:id="rId83" display="https://whc.unesco.org/en/list/1388/"/>
    <hyperlink ref="P43" r:id="rId84" display="https://whc.unesco.org/en/list/1388/documents/"/>
    <hyperlink ref="O44" r:id="rId85" display="https://whc.unesco.org/en/list/1389/"/>
    <hyperlink ref="P44" r:id="rId86" display="https://whc.unesco.org/en/list/1389/documents/"/>
    <hyperlink ref="O45" r:id="rId87" display="https://whc.unesco.org/en/list/1111/"/>
    <hyperlink ref="P45" r:id="rId88" display="https://whc.unesco.org/en/list/1111/documents/"/>
    <hyperlink ref="O46" r:id="rId89" display="https://whc.unesco.org/en/list/1414/"/>
    <hyperlink ref="P46" r:id="rId90" display="https://whc.unesco.org/en/list/1414/documents/"/>
    <hyperlink ref="O47" r:id="rId91" display="https://whc.unesco.org/en/list/1442/"/>
    <hyperlink ref="P47" r:id="rId92" display="https://whc.unesco.org/en/list/1442/documents/"/>
    <hyperlink ref="O48" r:id="rId93" display="https://whc.unesco.org/en/list/1443/"/>
    <hyperlink ref="P48" r:id="rId94" display="https://whc.unesco.org/en/list/1443/documents/"/>
    <hyperlink ref="O49" r:id="rId95" display="https://whc.unesco.org/en/list/1474/"/>
    <hyperlink ref="P49" r:id="rId96" display="https://whc.unesco.org/en/list/1474/documents/"/>
    <hyperlink ref="O50" r:id="rId97" display="https://whc.unesco.org/en/list/1508/"/>
    <hyperlink ref="P50" r:id="rId98" display="https://whc.unesco.org/en/list/1508/documents/"/>
    <hyperlink ref="O51" r:id="rId99" display="https://whc.unesco.org/en/list/1509/"/>
    <hyperlink ref="P51" r:id="rId100" display="https://whc.unesco.org/en/list/1509/documents/"/>
    <hyperlink ref="O52" r:id="rId101" display="https://whc.unesco.org/en/list/1540/"/>
    <hyperlink ref="P52" r:id="rId102" display="https://whc.unesco.org/en/list/1540/documents/"/>
    <hyperlink ref="O53" r:id="rId103" display="https://whc.unesco.org/en/list/1541/"/>
    <hyperlink ref="P53" r:id="rId104" display="https://whc.unesco.org/en/list/1541/documents/"/>
    <hyperlink ref="O54" r:id="rId105" display="https://whc.unesco.org/en/list/1559/"/>
    <hyperlink ref="P54" r:id="rId106" display="https://whc.unesco.org/en/list/1559/documents/"/>
    <hyperlink ref="O55" r:id="rId107" display="https://whc.unesco.org/en/list/1592/"/>
    <hyperlink ref="P55" r:id="rId108" display="https://whc.unesco.org/en/list/1592/documents/"/>
    <hyperlink ref="O56" r:id="rId109" display="https://whc.unesco.org/en/list/1606/"/>
    <hyperlink ref="P56" r:id="rId110" display="https://whc.unesco.org/en/list/1606/documents/"/>
    <hyperlink ref="O57" r:id="rId111" display="https://whc.unesco.org/en/list/1561/"/>
    <hyperlink ref="P57" r:id="rId112" display="https://whc.unesco.org/en/list/1561/documents/"/>
    <hyperlink ref="O58" r:id="rId113" display="https://whc.unesco.org/en/list/1665/"/>
    <hyperlink ref="P58" r:id="rId114" display="https://whc.unesco.org/en/list/1665/documents/"/>
    <hyperlink ref="O59" r:id="rId115" display="https://whc.unesco.org/en/list/1638/"/>
    <hyperlink ref="P59" r:id="rId116" display="https://whc.unesco.org/en/list/1638/documents/"/>
    <hyperlink ref="O60" r:id="rId117" display="https://whc.unesco.org/en/list/1714/"/>
    <hyperlink ref="P60" r:id="rId118" display="https://whc.unesco.org/en/list/1714/documents/"/>
    <hyperlink ref="O61" r:id="rId119" display="https://whc.unesco.org/en/list/1736/"/>
    <hyperlink ref="P61" r:id="rId120" display="https://whc.unesco.org/en/list/1736/documents/"/>
    <hyperlink ref="O62" r:id="rId121" display="https://whc.unesco.org/en/list/1765/"/>
    <hyperlink ref="P62" r:id="rId122" display="https://whc.unesco.org/en/list/1765/documen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0"/>
    <col collapsed="false" customWidth="true" hidden="false" outlineLevel="0" max="3" min="3" style="0" width="10"/>
    <col collapsed="false" customWidth="true" hidden="false" outlineLevel="0" max="4" min="4" style="0" width="20"/>
    <col collapsed="false" customWidth="true" hidden="false" outlineLevel="0" max="5" min="5" style="0" width="60"/>
    <col collapsed="false" customWidth="true" hidden="false" outlineLevel="0" max="6" min="6" style="0" width="36"/>
    <col collapsed="false" customWidth="true" hidden="false" outlineLevel="0" max="7" min="7" style="0" width="26"/>
    <col collapsed="false" customWidth="true" hidden="false" outlineLevel="0" max="8" min="8" style="0" width="14"/>
  </cols>
  <sheetData>
    <row r="1" customFormat="false" ht="31.5" hidden="false" customHeight="true" outlineLevel="0" collapsed="false">
      <c r="A1" s="5" t="s">
        <v>360</v>
      </c>
      <c r="B1" s="5" t="s">
        <v>361</v>
      </c>
      <c r="C1" s="5" t="s">
        <v>362</v>
      </c>
      <c r="D1" s="5" t="s">
        <v>363</v>
      </c>
      <c r="E1" s="5" t="s">
        <v>364</v>
      </c>
      <c r="F1" s="5" t="s">
        <v>365</v>
      </c>
      <c r="G1" s="5" t="s">
        <v>59</v>
      </c>
      <c r="H1" s="5" t="s">
        <v>60</v>
      </c>
    </row>
    <row r="2" customFormat="false" ht="15" hidden="false" customHeight="false" outlineLevel="0" collapsed="false">
      <c r="A2" s="6" t="n">
        <v>105</v>
      </c>
      <c r="B2" s="4" t="s">
        <v>366</v>
      </c>
      <c r="C2" s="6" t="n">
        <v>1996</v>
      </c>
      <c r="D2" s="6"/>
      <c r="E2" s="6"/>
      <c r="F2" s="7" t="s">
        <v>367</v>
      </c>
      <c r="G2" s="8"/>
      <c r="H2" s="8"/>
    </row>
    <row r="3" customFormat="false" ht="15" hidden="false" customHeight="false" outlineLevel="0" collapsed="false">
      <c r="A3" s="6" t="n">
        <v>106</v>
      </c>
      <c r="B3" s="4" t="s">
        <v>368</v>
      </c>
      <c r="C3" s="6" t="n">
        <v>1996</v>
      </c>
      <c r="D3" s="6"/>
      <c r="E3" s="6"/>
      <c r="F3" s="7" t="s">
        <v>369</v>
      </c>
      <c r="G3" s="8"/>
      <c r="H3" s="8"/>
    </row>
    <row r="4" customFormat="false" ht="15" hidden="false" customHeight="false" outlineLevel="0" collapsed="false">
      <c r="A4" s="6" t="n">
        <v>107</v>
      </c>
      <c r="B4" s="4" t="s">
        <v>370</v>
      </c>
      <c r="C4" s="6" t="n">
        <v>1996</v>
      </c>
      <c r="D4" s="6"/>
      <c r="E4" s="6"/>
      <c r="F4" s="7" t="s">
        <v>371</v>
      </c>
      <c r="G4" s="8"/>
      <c r="H4" s="8"/>
    </row>
    <row r="5" customFormat="false" ht="15" hidden="false" customHeight="false" outlineLevel="0" collapsed="false">
      <c r="A5" s="6" t="n">
        <v>108</v>
      </c>
      <c r="B5" s="4" t="s">
        <v>372</v>
      </c>
      <c r="C5" s="6" t="n">
        <v>1996</v>
      </c>
      <c r="D5" s="6"/>
      <c r="E5" s="6"/>
      <c r="F5" s="7" t="s">
        <v>373</v>
      </c>
      <c r="G5" s="8"/>
      <c r="H5" s="8"/>
    </row>
    <row r="6" customFormat="false" ht="15" hidden="false" customHeight="false" outlineLevel="0" collapsed="false">
      <c r="A6" s="6" t="n">
        <v>1622</v>
      </c>
      <c r="B6" s="4" t="s">
        <v>374</v>
      </c>
      <c r="C6" s="6" t="n">
        <v>2001</v>
      </c>
      <c r="D6" s="6"/>
      <c r="E6" s="6"/>
      <c r="F6" s="7" t="s">
        <v>375</v>
      </c>
      <c r="G6" s="8"/>
      <c r="H6" s="8"/>
    </row>
    <row r="7" customFormat="false" ht="15" hidden="false" customHeight="false" outlineLevel="0" collapsed="false">
      <c r="A7" s="6" t="n">
        <v>1623</v>
      </c>
      <c r="B7" s="4" t="s">
        <v>376</v>
      </c>
      <c r="C7" s="6" t="n">
        <v>2001</v>
      </c>
      <c r="D7" s="6"/>
      <c r="E7" s="6"/>
      <c r="F7" s="7" t="s">
        <v>377</v>
      </c>
      <c r="G7" s="8"/>
      <c r="H7" s="8"/>
    </row>
    <row r="8" customFormat="false" ht="15" hidden="false" customHeight="false" outlineLevel="0" collapsed="false">
      <c r="A8" s="6" t="n">
        <v>1624</v>
      </c>
      <c r="B8" s="4" t="s">
        <v>378</v>
      </c>
      <c r="C8" s="6" t="n">
        <v>2001</v>
      </c>
      <c r="D8" s="6"/>
      <c r="E8" s="6"/>
      <c r="F8" s="7" t="s">
        <v>379</v>
      </c>
      <c r="G8" s="8"/>
      <c r="H8" s="8"/>
    </row>
    <row r="9" customFormat="false" ht="15" hidden="false" customHeight="false" outlineLevel="0" collapsed="false">
      <c r="A9" s="6" t="n">
        <v>1625</v>
      </c>
      <c r="B9" s="4" t="s">
        <v>380</v>
      </c>
      <c r="C9" s="6" t="n">
        <v>2001</v>
      </c>
      <c r="D9" s="6"/>
      <c r="E9" s="6"/>
      <c r="F9" s="7" t="s">
        <v>381</v>
      </c>
      <c r="G9" s="8"/>
      <c r="H9" s="8"/>
    </row>
    <row r="10" customFormat="false" ht="15" hidden="false" customHeight="false" outlineLevel="0" collapsed="false">
      <c r="A10" s="6" t="n">
        <v>1626</v>
      </c>
      <c r="B10" s="4" t="s">
        <v>382</v>
      </c>
      <c r="C10" s="6" t="n">
        <v>2001</v>
      </c>
      <c r="D10" s="6"/>
      <c r="E10" s="6"/>
      <c r="F10" s="7" t="s">
        <v>383</v>
      </c>
      <c r="G10" s="8"/>
      <c r="H10" s="8"/>
    </row>
    <row r="11" customFormat="false" ht="15" hidden="false" customHeight="false" outlineLevel="0" collapsed="false">
      <c r="A11" s="6" t="n">
        <v>1627</v>
      </c>
      <c r="B11" s="4" t="s">
        <v>384</v>
      </c>
      <c r="C11" s="6" t="n">
        <v>2001</v>
      </c>
      <c r="D11" s="6"/>
      <c r="E11" s="6"/>
      <c r="F11" s="7" t="s">
        <v>385</v>
      </c>
      <c r="G11" s="8"/>
      <c r="H11" s="8"/>
    </row>
    <row r="12" customFormat="false" ht="15" hidden="false" customHeight="false" outlineLevel="0" collapsed="false">
      <c r="A12" s="6" t="n">
        <v>1629</v>
      </c>
      <c r="B12" s="4" t="s">
        <v>386</v>
      </c>
      <c r="C12" s="6" t="n">
        <v>2001</v>
      </c>
      <c r="D12" s="6"/>
      <c r="E12" s="6"/>
      <c r="F12" s="7" t="s">
        <v>387</v>
      </c>
      <c r="G12" s="8"/>
      <c r="H12" s="8"/>
    </row>
    <row r="13" customFormat="false" ht="15" hidden="false" customHeight="false" outlineLevel="0" collapsed="false">
      <c r="A13" s="6" t="n">
        <v>1631</v>
      </c>
      <c r="B13" s="4" t="s">
        <v>388</v>
      </c>
      <c r="C13" s="6" t="n">
        <v>2001</v>
      </c>
      <c r="D13" s="6"/>
      <c r="E13" s="6"/>
      <c r="F13" s="7" t="s">
        <v>389</v>
      </c>
      <c r="G13" s="8"/>
      <c r="H13" s="8"/>
    </row>
    <row r="14" customFormat="false" ht="15" hidden="false" customHeight="false" outlineLevel="0" collapsed="false">
      <c r="A14" s="6" t="n">
        <v>1632</v>
      </c>
      <c r="B14" s="4" t="s">
        <v>390</v>
      </c>
      <c r="C14" s="6" t="n">
        <v>2001</v>
      </c>
      <c r="D14" s="6"/>
      <c r="E14" s="6"/>
      <c r="F14" s="7" t="s">
        <v>391</v>
      </c>
      <c r="G14" s="8"/>
      <c r="H14" s="8"/>
    </row>
    <row r="15" customFormat="false" ht="15" hidden="false" customHeight="false" outlineLevel="0" collapsed="false">
      <c r="A15" s="6" t="n">
        <v>1633</v>
      </c>
      <c r="B15" s="4" t="s">
        <v>392</v>
      </c>
      <c r="C15" s="6" t="n">
        <v>2001</v>
      </c>
      <c r="D15" s="6"/>
      <c r="E15" s="6"/>
      <c r="F15" s="7" t="s">
        <v>393</v>
      </c>
      <c r="G15" s="8"/>
      <c r="H15" s="8"/>
    </row>
    <row r="16" customFormat="false" ht="15" hidden="false" customHeight="false" outlineLevel="0" collapsed="false">
      <c r="A16" s="6" t="n">
        <v>1634</v>
      </c>
      <c r="B16" s="4" t="s">
        <v>394</v>
      </c>
      <c r="C16" s="6" t="n">
        <v>2001</v>
      </c>
      <c r="D16" s="6"/>
      <c r="E16" s="6"/>
      <c r="F16" s="7" t="s">
        <v>395</v>
      </c>
      <c r="G16" s="8"/>
      <c r="H16" s="8"/>
    </row>
    <row r="17" customFormat="false" ht="15" hidden="false" customHeight="false" outlineLevel="0" collapsed="false">
      <c r="A17" s="6" t="n">
        <v>5320</v>
      </c>
      <c r="B17" s="4" t="s">
        <v>396</v>
      </c>
      <c r="C17" s="6" t="n">
        <v>2008</v>
      </c>
      <c r="D17" s="6"/>
      <c r="E17" s="6"/>
      <c r="F17" s="7" t="s">
        <v>397</v>
      </c>
      <c r="G17" s="8"/>
      <c r="H17" s="8"/>
    </row>
    <row r="18" customFormat="false" ht="15" hidden="false" customHeight="false" outlineLevel="0" collapsed="false">
      <c r="A18" s="6" t="n">
        <v>5322</v>
      </c>
      <c r="B18" s="4" t="s">
        <v>398</v>
      </c>
      <c r="C18" s="6" t="n">
        <v>2008</v>
      </c>
      <c r="D18" s="6"/>
      <c r="E18" s="6"/>
      <c r="F18" s="7" t="s">
        <v>399</v>
      </c>
      <c r="G18" s="8"/>
      <c r="H18" s="8"/>
    </row>
    <row r="19" customFormat="false" ht="15" hidden="false" customHeight="false" outlineLevel="0" collapsed="false">
      <c r="A19" s="6" t="n">
        <v>5324</v>
      </c>
      <c r="B19" s="4" t="s">
        <v>400</v>
      </c>
      <c r="C19" s="6" t="n">
        <v>2008</v>
      </c>
      <c r="D19" s="6"/>
      <c r="E19" s="6"/>
      <c r="F19" s="7" t="s">
        <v>401</v>
      </c>
      <c r="G19" s="8"/>
      <c r="H19" s="8"/>
    </row>
    <row r="20" customFormat="false" ht="15" hidden="false" customHeight="false" outlineLevel="0" collapsed="false">
      <c r="A20" s="6" t="n">
        <v>5327</v>
      </c>
      <c r="B20" s="4" t="s">
        <v>402</v>
      </c>
      <c r="C20" s="6" t="n">
        <v>2008</v>
      </c>
      <c r="D20" s="6"/>
      <c r="E20" s="6"/>
      <c r="F20" s="7" t="s">
        <v>403</v>
      </c>
      <c r="G20" s="8"/>
      <c r="H20" s="8"/>
    </row>
    <row r="21" customFormat="false" ht="15" hidden="false" customHeight="false" outlineLevel="0" collapsed="false">
      <c r="A21" s="6" t="n">
        <v>5328</v>
      </c>
      <c r="B21" s="4" t="s">
        <v>404</v>
      </c>
      <c r="C21" s="6" t="n">
        <v>2008</v>
      </c>
      <c r="D21" s="6"/>
      <c r="E21" s="6"/>
      <c r="F21" s="7" t="s">
        <v>405</v>
      </c>
      <c r="G21" s="8"/>
      <c r="H21" s="8"/>
    </row>
    <row r="22" customFormat="false" ht="57.45" hidden="false" customHeight="false" outlineLevel="0" collapsed="false">
      <c r="A22" s="6" t="n">
        <v>5335</v>
      </c>
      <c r="B22" s="4" t="s">
        <v>406</v>
      </c>
      <c r="C22" s="6" t="n">
        <v>2008</v>
      </c>
      <c r="D22" s="4" t="s">
        <v>407</v>
      </c>
      <c r="E22" s="4" t="s">
        <v>408</v>
      </c>
      <c r="F22" s="7" t="s">
        <v>409</v>
      </c>
      <c r="G22" s="8"/>
      <c r="H22" s="8"/>
    </row>
    <row r="23" customFormat="false" ht="15" hidden="false" customHeight="false" outlineLevel="0" collapsed="false">
      <c r="A23" s="6" t="n">
        <v>5337</v>
      </c>
      <c r="B23" s="4" t="s">
        <v>410</v>
      </c>
      <c r="C23" s="6" t="n">
        <v>2008</v>
      </c>
      <c r="D23" s="6"/>
      <c r="E23" s="6"/>
      <c r="F23" s="7" t="s">
        <v>411</v>
      </c>
      <c r="G23" s="8"/>
      <c r="H23" s="8"/>
    </row>
    <row r="24" customFormat="false" ht="15" hidden="false" customHeight="false" outlineLevel="0" collapsed="false">
      <c r="A24" s="6" t="n">
        <v>5338</v>
      </c>
      <c r="B24" s="4" t="s">
        <v>412</v>
      </c>
      <c r="C24" s="6" t="n">
        <v>2008</v>
      </c>
      <c r="D24" s="6"/>
      <c r="E24" s="6"/>
      <c r="F24" s="7" t="s">
        <v>413</v>
      </c>
      <c r="G24" s="8"/>
      <c r="H24" s="8"/>
    </row>
    <row r="25" customFormat="false" ht="15" hidden="false" customHeight="false" outlineLevel="0" collapsed="false">
      <c r="A25" s="6" t="n">
        <v>5341</v>
      </c>
      <c r="B25" s="4" t="s">
        <v>414</v>
      </c>
      <c r="C25" s="6" t="n">
        <v>2008</v>
      </c>
      <c r="D25" s="6"/>
      <c r="E25" s="6"/>
      <c r="F25" s="7" t="s">
        <v>415</v>
      </c>
      <c r="G25" s="8"/>
      <c r="H25" s="8"/>
    </row>
    <row r="26" customFormat="false" ht="23.85" hidden="false" customHeight="false" outlineLevel="0" collapsed="false">
      <c r="A26" s="6" t="n">
        <v>5344</v>
      </c>
      <c r="B26" s="4" t="s">
        <v>416</v>
      </c>
      <c r="C26" s="6" t="n">
        <v>2008</v>
      </c>
      <c r="D26" s="6"/>
      <c r="E26" s="6"/>
      <c r="F26" s="7" t="s">
        <v>417</v>
      </c>
      <c r="G26" s="8"/>
      <c r="H26" s="8"/>
    </row>
    <row r="27" customFormat="false" ht="15" hidden="false" customHeight="false" outlineLevel="0" collapsed="false">
      <c r="A27" s="6" t="n">
        <v>5347</v>
      </c>
      <c r="B27" s="4" t="s">
        <v>418</v>
      </c>
      <c r="C27" s="6" t="n">
        <v>2008</v>
      </c>
      <c r="D27" s="6"/>
      <c r="E27" s="6"/>
      <c r="F27" s="7" t="s">
        <v>419</v>
      </c>
      <c r="G27" s="8"/>
      <c r="H27" s="8"/>
    </row>
    <row r="28" customFormat="false" ht="23.85" hidden="false" customHeight="false" outlineLevel="0" collapsed="false">
      <c r="A28" s="6" t="n">
        <v>5351</v>
      </c>
      <c r="B28" s="4" t="s">
        <v>420</v>
      </c>
      <c r="C28" s="6" t="n">
        <v>2008</v>
      </c>
      <c r="D28" s="6"/>
      <c r="E28" s="6"/>
      <c r="F28" s="7" t="s">
        <v>421</v>
      </c>
      <c r="G28" s="8"/>
      <c r="H28" s="8"/>
    </row>
    <row r="29" customFormat="false" ht="15" hidden="false" customHeight="false" outlineLevel="0" collapsed="false">
      <c r="A29" s="6" t="n">
        <v>5353</v>
      </c>
      <c r="B29" s="4" t="s">
        <v>422</v>
      </c>
      <c r="C29" s="6" t="n">
        <v>2008</v>
      </c>
      <c r="D29" s="6"/>
      <c r="E29" s="6"/>
      <c r="F29" s="7" t="s">
        <v>423</v>
      </c>
      <c r="G29" s="8"/>
      <c r="H29" s="8"/>
    </row>
    <row r="30" customFormat="false" ht="15" hidden="false" customHeight="false" outlineLevel="0" collapsed="false">
      <c r="A30" s="6" t="n">
        <v>5532</v>
      </c>
      <c r="B30" s="4" t="s">
        <v>424</v>
      </c>
      <c r="C30" s="6" t="n">
        <v>2010</v>
      </c>
      <c r="D30" s="6"/>
      <c r="E30" s="6"/>
      <c r="F30" s="7" t="s">
        <v>425</v>
      </c>
      <c r="G30" s="8"/>
      <c r="H30" s="8"/>
    </row>
    <row r="31" customFormat="false" ht="15" hidden="false" customHeight="false" outlineLevel="0" collapsed="false">
      <c r="A31" s="6" t="n">
        <v>5533</v>
      </c>
      <c r="B31" s="4" t="s">
        <v>426</v>
      </c>
      <c r="C31" s="6" t="n">
        <v>2010</v>
      </c>
      <c r="D31" s="6"/>
      <c r="E31" s="6"/>
      <c r="F31" s="7" t="s">
        <v>427</v>
      </c>
      <c r="G31" s="8"/>
      <c r="H31" s="8"/>
    </row>
    <row r="32" customFormat="false" ht="15" hidden="false" customHeight="false" outlineLevel="0" collapsed="false">
      <c r="A32" s="6" t="n">
        <v>5535</v>
      </c>
      <c r="B32" s="4" t="s">
        <v>428</v>
      </c>
      <c r="C32" s="6" t="n">
        <v>2010</v>
      </c>
      <c r="D32" s="6"/>
      <c r="E32" s="6"/>
      <c r="F32" s="7" t="s">
        <v>429</v>
      </c>
      <c r="G32" s="8"/>
      <c r="H32" s="8"/>
    </row>
    <row r="33" customFormat="false" ht="23.85" hidden="false" customHeight="false" outlineLevel="0" collapsed="false">
      <c r="A33" s="6" t="n">
        <v>5803</v>
      </c>
      <c r="B33" s="4" t="s">
        <v>430</v>
      </c>
      <c r="C33" s="6" t="n">
        <v>2013</v>
      </c>
      <c r="D33" s="6"/>
      <c r="E33" s="6"/>
      <c r="F33" s="7" t="s">
        <v>431</v>
      </c>
      <c r="G33" s="8"/>
      <c r="H33" s="8"/>
    </row>
    <row r="34" customFormat="false" ht="23.85" hidden="false" customHeight="false" outlineLevel="0" collapsed="false">
      <c r="A34" s="6" t="n">
        <v>5804</v>
      </c>
      <c r="B34" s="4" t="s">
        <v>432</v>
      </c>
      <c r="C34" s="6" t="n">
        <v>2013</v>
      </c>
      <c r="D34" s="6"/>
      <c r="E34" s="6"/>
      <c r="F34" s="7" t="s">
        <v>433</v>
      </c>
      <c r="G34" s="8"/>
      <c r="H34" s="8"/>
    </row>
    <row r="35" customFormat="false" ht="15" hidden="false" customHeight="false" outlineLevel="0" collapsed="false">
      <c r="A35" s="6" t="n">
        <v>5806</v>
      </c>
      <c r="B35" s="4" t="s">
        <v>434</v>
      </c>
      <c r="C35" s="6" t="n">
        <v>2013</v>
      </c>
      <c r="D35" s="6"/>
      <c r="E35" s="6"/>
      <c r="F35" s="7" t="s">
        <v>435</v>
      </c>
      <c r="G35" s="8"/>
      <c r="H35" s="8"/>
    </row>
    <row r="36" customFormat="false" ht="15" hidden="false" customHeight="false" outlineLevel="0" collapsed="false">
      <c r="A36" s="6" t="n">
        <v>5808</v>
      </c>
      <c r="B36" s="4" t="s">
        <v>436</v>
      </c>
      <c r="C36" s="6" t="n">
        <v>2013</v>
      </c>
      <c r="D36" s="6"/>
      <c r="E36" s="6"/>
      <c r="F36" s="7" t="s">
        <v>437</v>
      </c>
      <c r="G36" s="8"/>
      <c r="H36" s="8"/>
    </row>
    <row r="37" customFormat="false" ht="15" hidden="false" customHeight="false" outlineLevel="0" collapsed="false">
      <c r="A37" s="6" t="n">
        <v>5813</v>
      </c>
      <c r="B37" s="4" t="s">
        <v>438</v>
      </c>
      <c r="C37" s="6" t="n">
        <v>2013</v>
      </c>
      <c r="D37" s="6"/>
      <c r="E37" s="6"/>
      <c r="F37" s="7" t="s">
        <v>439</v>
      </c>
      <c r="G37" s="8"/>
      <c r="H37" s="8"/>
    </row>
    <row r="38" customFormat="false" ht="15" hidden="false" customHeight="false" outlineLevel="0" collapsed="false">
      <c r="A38" s="6" t="n">
        <v>5814</v>
      </c>
      <c r="B38" s="4" t="s">
        <v>440</v>
      </c>
      <c r="C38" s="6" t="n">
        <v>2013</v>
      </c>
      <c r="D38" s="6"/>
      <c r="E38" s="6"/>
      <c r="F38" s="7" t="s">
        <v>441</v>
      </c>
      <c r="G38" s="8"/>
      <c r="H38" s="8"/>
    </row>
    <row r="39" customFormat="false" ht="15" hidden="false" customHeight="false" outlineLevel="0" collapsed="false">
      <c r="A39" s="6" t="n">
        <v>5815</v>
      </c>
      <c r="B39" s="4" t="s">
        <v>442</v>
      </c>
      <c r="C39" s="6" t="n">
        <v>2013</v>
      </c>
      <c r="D39" s="6"/>
      <c r="E39" s="6"/>
      <c r="F39" s="7" t="s">
        <v>443</v>
      </c>
      <c r="G39" s="8"/>
      <c r="H39" s="8"/>
    </row>
    <row r="40" customFormat="false" ht="35.05" hidden="false" customHeight="false" outlineLevel="0" collapsed="false">
      <c r="A40" s="6" t="n">
        <v>5816</v>
      </c>
      <c r="B40" s="4" t="s">
        <v>444</v>
      </c>
      <c r="C40" s="6" t="n">
        <v>2013</v>
      </c>
      <c r="D40" s="6"/>
      <c r="E40" s="6"/>
      <c r="F40" s="7" t="s">
        <v>445</v>
      </c>
      <c r="G40" s="8"/>
      <c r="H40" s="8"/>
    </row>
    <row r="41" customFormat="false" ht="15" hidden="false" customHeight="false" outlineLevel="0" collapsed="false">
      <c r="A41" s="6" t="n">
        <v>5989</v>
      </c>
      <c r="B41" s="4" t="s">
        <v>446</v>
      </c>
      <c r="C41" s="6" t="n">
        <v>2015</v>
      </c>
      <c r="D41" s="6"/>
      <c r="E41" s="6"/>
      <c r="F41" s="7" t="s">
        <v>447</v>
      </c>
      <c r="G41" s="8"/>
      <c r="H41" s="8"/>
    </row>
    <row r="42" customFormat="false" ht="15" hidden="false" customHeight="false" outlineLevel="0" collapsed="false">
      <c r="A42" s="6" t="n">
        <v>5990</v>
      </c>
      <c r="B42" s="4" t="s">
        <v>448</v>
      </c>
      <c r="C42" s="6" t="n">
        <v>2015</v>
      </c>
      <c r="D42" s="6"/>
      <c r="E42" s="6"/>
      <c r="F42" s="7" t="s">
        <v>449</v>
      </c>
      <c r="G42" s="8"/>
      <c r="H42" s="8"/>
    </row>
    <row r="43" customFormat="false" ht="15" hidden="false" customHeight="false" outlineLevel="0" collapsed="false">
      <c r="A43" s="6" t="n">
        <v>5992</v>
      </c>
      <c r="B43" s="4" t="s">
        <v>450</v>
      </c>
      <c r="C43" s="6" t="n">
        <v>2015</v>
      </c>
      <c r="D43" s="6"/>
      <c r="E43" s="6"/>
      <c r="F43" s="7" t="s">
        <v>451</v>
      </c>
      <c r="G43" s="8"/>
      <c r="H43" s="8"/>
    </row>
    <row r="44" customFormat="false" ht="15" hidden="false" customHeight="false" outlineLevel="0" collapsed="false">
      <c r="A44" s="6" t="n">
        <v>5993</v>
      </c>
      <c r="B44" s="4" t="s">
        <v>452</v>
      </c>
      <c r="C44" s="6" t="n">
        <v>2015</v>
      </c>
      <c r="D44" s="6"/>
      <c r="E44" s="6"/>
      <c r="F44" s="7" t="s">
        <v>453</v>
      </c>
      <c r="G44" s="8"/>
      <c r="H44" s="8"/>
    </row>
    <row r="45" customFormat="false" ht="15" hidden="false" customHeight="false" outlineLevel="0" collapsed="false">
      <c r="A45" s="6" t="n">
        <v>5994</v>
      </c>
      <c r="B45" s="4" t="s">
        <v>454</v>
      </c>
      <c r="C45" s="6" t="n">
        <v>2015</v>
      </c>
      <c r="D45" s="6"/>
      <c r="E45" s="6"/>
      <c r="F45" s="7" t="s">
        <v>455</v>
      </c>
      <c r="G45" s="8"/>
      <c r="H45" s="8"/>
    </row>
    <row r="46" customFormat="false" ht="15" hidden="false" customHeight="false" outlineLevel="0" collapsed="false">
      <c r="A46" s="6" t="n">
        <v>5995</v>
      </c>
      <c r="B46" s="4" t="s">
        <v>456</v>
      </c>
      <c r="C46" s="6" t="n">
        <v>2015</v>
      </c>
      <c r="D46" s="6"/>
      <c r="E46" s="6"/>
      <c r="F46" s="7" t="s">
        <v>457</v>
      </c>
      <c r="G46" s="8"/>
      <c r="H46" s="8"/>
    </row>
    <row r="47" customFormat="false" ht="46.25" hidden="false" customHeight="false" outlineLevel="0" collapsed="false">
      <c r="A47" s="6" t="n">
        <v>6093</v>
      </c>
      <c r="B47" s="4" t="s">
        <v>458</v>
      </c>
      <c r="C47" s="6" t="n">
        <v>2016</v>
      </c>
      <c r="D47" s="4" t="s">
        <v>407</v>
      </c>
      <c r="E47" s="4" t="s">
        <v>459</v>
      </c>
      <c r="F47" s="7" t="s">
        <v>460</v>
      </c>
      <c r="G47" s="8"/>
      <c r="H47" s="8"/>
    </row>
    <row r="48" customFormat="false" ht="15" hidden="false" customHeight="false" outlineLevel="0" collapsed="false">
      <c r="A48" s="6" t="n">
        <v>6184</v>
      </c>
      <c r="B48" s="4" t="s">
        <v>461</v>
      </c>
      <c r="C48" s="6" t="n">
        <v>2017</v>
      </c>
      <c r="D48" s="6"/>
      <c r="E48" s="6"/>
      <c r="F48" s="7" t="s">
        <v>462</v>
      </c>
      <c r="G48" s="8"/>
      <c r="H48" s="8"/>
    </row>
    <row r="49" customFormat="false" ht="15" hidden="false" customHeight="false" outlineLevel="0" collapsed="false">
      <c r="A49" s="6" t="n">
        <v>6185</v>
      </c>
      <c r="B49" s="4" t="s">
        <v>463</v>
      </c>
      <c r="C49" s="6" t="n">
        <v>2017</v>
      </c>
      <c r="D49" s="6"/>
      <c r="E49" s="6"/>
      <c r="F49" s="7" t="s">
        <v>464</v>
      </c>
      <c r="G49" s="8"/>
      <c r="H49" s="8"/>
    </row>
    <row r="50" customFormat="false" ht="15" hidden="false" customHeight="false" outlineLevel="0" collapsed="false">
      <c r="A50" s="6" t="n">
        <v>6186</v>
      </c>
      <c r="B50" s="4" t="s">
        <v>465</v>
      </c>
      <c r="C50" s="6" t="n">
        <v>2017</v>
      </c>
      <c r="D50" s="6"/>
      <c r="E50" s="6"/>
      <c r="F50" s="7" t="s">
        <v>466</v>
      </c>
      <c r="G50" s="8"/>
      <c r="H50" s="8"/>
    </row>
    <row r="51" customFormat="false" ht="15" hidden="false" customHeight="false" outlineLevel="0" collapsed="false">
      <c r="A51" s="6" t="n">
        <v>6187</v>
      </c>
      <c r="B51" s="4" t="s">
        <v>467</v>
      </c>
      <c r="C51" s="6" t="n">
        <v>2017</v>
      </c>
      <c r="D51" s="6"/>
      <c r="E51" s="6"/>
      <c r="F51" s="7" t="s">
        <v>468</v>
      </c>
      <c r="G51" s="8"/>
      <c r="H51" s="8"/>
    </row>
    <row r="52" customFormat="false" ht="15" hidden="false" customHeight="false" outlineLevel="0" collapsed="false">
      <c r="A52" s="6" t="n">
        <v>6188</v>
      </c>
      <c r="B52" s="4" t="s">
        <v>469</v>
      </c>
      <c r="C52" s="6" t="n">
        <v>2017</v>
      </c>
      <c r="D52" s="6"/>
      <c r="E52" s="6"/>
      <c r="F52" s="7" t="s">
        <v>470</v>
      </c>
      <c r="G52" s="8"/>
      <c r="H52" s="8"/>
    </row>
    <row r="53" customFormat="false" ht="23.85" hidden="false" customHeight="false" outlineLevel="0" collapsed="false">
      <c r="A53" s="6" t="n">
        <v>6190</v>
      </c>
      <c r="B53" s="4" t="s">
        <v>471</v>
      </c>
      <c r="C53" s="6" t="n">
        <v>2017</v>
      </c>
      <c r="D53" s="6"/>
      <c r="E53" s="6"/>
      <c r="F53" s="7" t="s">
        <v>472</v>
      </c>
      <c r="G53" s="8"/>
      <c r="H53" s="8"/>
    </row>
    <row r="54" customFormat="false" ht="15" hidden="false" customHeight="false" outlineLevel="0" collapsed="false">
      <c r="A54" s="6" t="n">
        <v>6380</v>
      </c>
      <c r="B54" s="4" t="s">
        <v>473</v>
      </c>
      <c r="C54" s="6" t="n">
        <v>2019</v>
      </c>
      <c r="D54" s="6"/>
      <c r="E54" s="6"/>
      <c r="F54" s="7" t="s">
        <v>474</v>
      </c>
      <c r="G54" s="8"/>
      <c r="H54" s="8"/>
    </row>
    <row r="55" customFormat="false" ht="15" hidden="false" customHeight="false" outlineLevel="0" collapsed="false">
      <c r="A55" s="6" t="n">
        <v>6381</v>
      </c>
      <c r="B55" s="4" t="s">
        <v>475</v>
      </c>
      <c r="C55" s="6" t="n">
        <v>2019</v>
      </c>
      <c r="D55" s="6"/>
      <c r="E55" s="6"/>
      <c r="F55" s="7" t="s">
        <v>476</v>
      </c>
      <c r="G55" s="8"/>
      <c r="H55" s="8"/>
    </row>
    <row r="56" customFormat="false" ht="23.85" hidden="false" customHeight="false" outlineLevel="0" collapsed="false">
      <c r="A56" s="6" t="n">
        <v>6582</v>
      </c>
      <c r="B56" s="4" t="s">
        <v>477</v>
      </c>
      <c r="C56" s="6" t="n">
        <v>2022</v>
      </c>
      <c r="D56" s="6"/>
      <c r="E56" s="6"/>
      <c r="F56" s="7" t="s">
        <v>478</v>
      </c>
      <c r="G56" s="8"/>
      <c r="H56" s="8"/>
    </row>
    <row r="57" customFormat="false" ht="23.85" hidden="false" customHeight="false" outlineLevel="0" collapsed="false">
      <c r="A57" s="6" t="n">
        <v>6619</v>
      </c>
      <c r="B57" s="4" t="s">
        <v>479</v>
      </c>
      <c r="C57" s="6" t="n">
        <v>2022</v>
      </c>
      <c r="D57" s="6"/>
      <c r="E57" s="6"/>
      <c r="F57" s="7" t="s">
        <v>480</v>
      </c>
      <c r="G57" s="8"/>
      <c r="H57" s="8"/>
    </row>
    <row r="58" customFormat="false" ht="15" hidden="false" customHeight="false" outlineLevel="0" collapsed="false">
      <c r="A58" s="6" t="n">
        <v>6768</v>
      </c>
      <c r="B58" s="4" t="s">
        <v>481</v>
      </c>
      <c r="C58" s="6" t="n">
        <v>2024</v>
      </c>
      <c r="D58" s="6"/>
      <c r="E58" s="6"/>
      <c r="F58" s="7" t="s">
        <v>482</v>
      </c>
      <c r="G58" s="8"/>
      <c r="H58" s="8"/>
    </row>
    <row r="59" customFormat="false" ht="15" hidden="false" customHeight="false" outlineLevel="0" collapsed="false">
      <c r="A59" s="6" t="n">
        <v>6840</v>
      </c>
      <c r="B59" s="4" t="s">
        <v>483</v>
      </c>
      <c r="C59" s="6" t="n">
        <v>2025</v>
      </c>
      <c r="D59" s="6"/>
      <c r="E59" s="6"/>
      <c r="F59" s="7" t="s">
        <v>484</v>
      </c>
      <c r="G59" s="8"/>
      <c r="H59" s="8"/>
    </row>
    <row r="60" customFormat="false" ht="15" hidden="false" customHeight="false" outlineLevel="0" collapsed="false">
      <c r="A60" s="6" t="n">
        <v>6841</v>
      </c>
      <c r="B60" s="4" t="s">
        <v>485</v>
      </c>
      <c r="C60" s="6" t="n">
        <v>2025</v>
      </c>
      <c r="D60" s="6"/>
      <c r="E60" s="6"/>
      <c r="F60" s="7" t="s">
        <v>486</v>
      </c>
      <c r="G60" s="8"/>
      <c r="H60" s="8"/>
    </row>
    <row r="61" customFormat="false" ht="15" hidden="false" customHeight="false" outlineLevel="0" collapsed="false">
      <c r="A61" s="6" t="n">
        <v>7021</v>
      </c>
      <c r="B61" s="4" t="s">
        <v>487</v>
      </c>
      <c r="C61" s="6" t="n">
        <v>2026</v>
      </c>
      <c r="D61" s="6"/>
      <c r="E61" s="6"/>
      <c r="F61" s="7" t="s">
        <v>488</v>
      </c>
      <c r="G61" s="8"/>
      <c r="H61" s="8"/>
    </row>
  </sheetData>
  <autoFilter ref="A1:H61"/>
  <hyperlinks>
    <hyperlink ref="F2" r:id="rId1" display="https://whc.unesco.org/en/tentativelists/105/"/>
    <hyperlink ref="F3" r:id="rId2" display="https://whc.unesco.org/en/tentativelists/106/"/>
    <hyperlink ref="F4" r:id="rId3" display="https://whc.unesco.org/en/tentativelists/107/"/>
    <hyperlink ref="F5" r:id="rId4" display="https://whc.unesco.org/en/tentativelists/108/"/>
    <hyperlink ref="F6" r:id="rId5" display="https://whc.unesco.org/en/tentativelists/1622/"/>
    <hyperlink ref="F7" r:id="rId6" display="https://whc.unesco.org/en/tentativelists/1623/"/>
    <hyperlink ref="F8" r:id="rId7" display="https://whc.unesco.org/en/tentativelists/1624/"/>
    <hyperlink ref="F9" r:id="rId8" display="https://whc.unesco.org/en/tentativelists/1625/"/>
    <hyperlink ref="F10" r:id="rId9" display="https://whc.unesco.org/en/tentativelists/1626/"/>
    <hyperlink ref="F11" r:id="rId10" display="https://whc.unesco.org/en/tentativelists/1627/"/>
    <hyperlink ref="F12" r:id="rId11" display="https://whc.unesco.org/en/tentativelists/1629/"/>
    <hyperlink ref="F13" r:id="rId12" display="https://whc.unesco.org/en/tentativelists/1631/"/>
    <hyperlink ref="F14" r:id="rId13" display="https://whc.unesco.org/en/tentativelists/1632/"/>
    <hyperlink ref="F15" r:id="rId14" display="https://whc.unesco.org/en/tentativelists/1633/"/>
    <hyperlink ref="F16" r:id="rId15" display="https://whc.unesco.org/en/tentativelists/1634/"/>
    <hyperlink ref="F17" r:id="rId16" display="https://whc.unesco.org/en/tentativelists/5320/"/>
    <hyperlink ref="F18" r:id="rId17" display="https://whc.unesco.org/en/tentativelists/5322/"/>
    <hyperlink ref="F19" r:id="rId18" display="https://whc.unesco.org/en/tentativelists/5324/"/>
    <hyperlink ref="F20" r:id="rId19" display="https://whc.unesco.org/en/tentativelists/5327/"/>
    <hyperlink ref="F21" r:id="rId20" display="https://whc.unesco.org/en/tentativelists/5328/"/>
    <hyperlink ref="F22" r:id="rId21" display="https://whc.unesco.org/en/tentativelists/5335/"/>
    <hyperlink ref="F23" r:id="rId22" display="https://whc.unesco.org/en/tentativelists/5337/"/>
    <hyperlink ref="F24" r:id="rId23" display="https://whc.unesco.org/en/tentativelists/5338/"/>
    <hyperlink ref="F25" r:id="rId24" display="https://whc.unesco.org/en/tentativelists/5341/"/>
    <hyperlink ref="F26" r:id="rId25" display="https://whc.unesco.org/en/tentativelists/5344/"/>
    <hyperlink ref="F27" r:id="rId26" display="https://whc.unesco.org/en/tentativelists/5347/"/>
    <hyperlink ref="F28" r:id="rId27" display="https://whc.unesco.org/en/tentativelists/5351/"/>
    <hyperlink ref="F29" r:id="rId28" display="https://whc.unesco.org/en/tentativelists/5353/"/>
    <hyperlink ref="F30" r:id="rId29" display="https://whc.unesco.org/en/tentativelists/5532/"/>
    <hyperlink ref="F31" r:id="rId30" display="https://whc.unesco.org/en/tentativelists/5533/"/>
    <hyperlink ref="F32" r:id="rId31" display="https://whc.unesco.org/en/tentativelists/5535/"/>
    <hyperlink ref="F33" r:id="rId32" display="https://whc.unesco.org/en/tentativelists/5803/"/>
    <hyperlink ref="F34" r:id="rId33" display="https://whc.unesco.org/en/tentativelists/5804/"/>
    <hyperlink ref="F35" r:id="rId34" display="https://whc.unesco.org/en/tentativelists/5806/"/>
    <hyperlink ref="F36" r:id="rId35" display="https://whc.unesco.org/en/tentativelists/5808/"/>
    <hyperlink ref="F37" r:id="rId36" display="https://whc.unesco.org/en/tentativelists/5813/"/>
    <hyperlink ref="F38" r:id="rId37" display="https://whc.unesco.org/en/tentativelists/5814/"/>
    <hyperlink ref="F39" r:id="rId38" display="https://whc.unesco.org/en/tentativelists/5815/"/>
    <hyperlink ref="F40" r:id="rId39" display="https://whc.unesco.org/en/tentativelists/5816/"/>
    <hyperlink ref="F41" r:id="rId40" display="https://whc.unesco.org/en/tentativelists/5989/"/>
    <hyperlink ref="F42" r:id="rId41" display="https://whc.unesco.org/en/tentativelists/5990/"/>
    <hyperlink ref="F43" r:id="rId42" display="https://whc.unesco.org/en/tentativelists/5992/"/>
    <hyperlink ref="F44" r:id="rId43" display="https://whc.unesco.org/en/tentativelists/5993/"/>
    <hyperlink ref="F45" r:id="rId44" display="https://whc.unesco.org/en/tentativelists/5994/"/>
    <hyperlink ref="F46" r:id="rId45" display="https://whc.unesco.org/en/tentativelists/5995/"/>
    <hyperlink ref="F47" r:id="rId46" display="https://whc.unesco.org/en/tentativelists/6093/"/>
    <hyperlink ref="F48" r:id="rId47" display="https://whc.unesco.org/en/tentativelists/6184/"/>
    <hyperlink ref="F49" r:id="rId48" display="https://whc.unesco.org/en/tentativelists/6185/"/>
    <hyperlink ref="F50" r:id="rId49" display="https://whc.unesco.org/en/tentativelists/6186/"/>
    <hyperlink ref="F51" r:id="rId50" display="https://whc.unesco.org/en/tentativelists/6187/"/>
    <hyperlink ref="F52" r:id="rId51" display="https://whc.unesco.org/en/tentativelists/6188/"/>
    <hyperlink ref="F53" r:id="rId52" display="https://whc.unesco.org/en/tentativelists/6190/"/>
    <hyperlink ref="F54" r:id="rId53" display="https://whc.unesco.org/en/tentativelists/6380/"/>
    <hyperlink ref="F55" r:id="rId54" display="https://whc.unesco.org/en/tentativelists/6381/"/>
    <hyperlink ref="F56" r:id="rId55" display="https://whc.unesco.org/en/tentativelists/6582/"/>
    <hyperlink ref="F57" r:id="rId56" display="https://whc.unesco.org/en/tentativelists/6619/"/>
    <hyperlink ref="F58" r:id="rId57" display="https://whc.unesco.org/en/tentativelists/6768/"/>
    <hyperlink ref="F59" r:id="rId58" display="https://whc.unesco.org/en/tentativelists/6840/"/>
    <hyperlink ref="F60" r:id="rId59" display="https://whc.unesco.org/en/tentativelists/6841/"/>
    <hyperlink ref="F61" r:id="rId60" display="https://whc.unesco.org/en/tentativelists/70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24"/>
    <col collapsed="false" customWidth="true" hidden="false" outlineLevel="0" max="4" min="4" style="0" width="22"/>
    <col collapsed="false" customWidth="true" hidden="false" outlineLevel="0" max="5" min="5" style="0" width="9"/>
    <col collapsed="false" customWidth="true" hidden="false" outlineLevel="0" max="6" min="6" style="0" width="11"/>
    <col collapsed="false" customWidth="true" hidden="false" outlineLevel="0" max="7" min="7" style="0" width="26"/>
    <col collapsed="false" customWidth="true" hidden="false" outlineLevel="0" max="8" min="8" style="0" width="24"/>
    <col collapsed="false" customWidth="true" hidden="false" outlineLevel="0" max="9" min="9" style="0" width="70"/>
    <col collapsed="false" customWidth="true" hidden="false" outlineLevel="0" max="10" min="10" style="0" width="30"/>
    <col collapsed="false" customWidth="true" hidden="false" outlineLevel="0" max="11" min="11" style="0" width="26"/>
  </cols>
  <sheetData>
    <row r="1" customFormat="false" ht="31.5" hidden="false" customHeight="true" outlineLevel="0" collapsed="false">
      <c r="A1" s="5" t="s">
        <v>43</v>
      </c>
      <c r="B1" s="5" t="s">
        <v>44</v>
      </c>
      <c r="C1" s="5" t="s">
        <v>45</v>
      </c>
      <c r="D1" s="5" t="s">
        <v>489</v>
      </c>
      <c r="E1" s="5" t="s">
        <v>48</v>
      </c>
      <c r="F1" s="5" t="s">
        <v>50</v>
      </c>
      <c r="G1" s="5" t="s">
        <v>490</v>
      </c>
      <c r="H1" s="5" t="s">
        <v>491</v>
      </c>
      <c r="I1" s="5" t="s">
        <v>492</v>
      </c>
      <c r="J1" s="5" t="s">
        <v>57</v>
      </c>
      <c r="K1" s="5" t="s">
        <v>59</v>
      </c>
    </row>
    <row r="2" customFormat="false" ht="46.25" hidden="false" customHeight="false" outlineLevel="0" collapsed="false">
      <c r="A2" s="6" t="n">
        <v>1223</v>
      </c>
      <c r="B2" s="4" t="s">
        <v>493</v>
      </c>
      <c r="C2" s="6"/>
      <c r="D2" s="4" t="s">
        <v>494</v>
      </c>
      <c r="E2" s="6" t="n">
        <v>2008</v>
      </c>
      <c r="F2" s="4" t="s">
        <v>65</v>
      </c>
      <c r="G2" s="4" t="s">
        <v>495</v>
      </c>
      <c r="H2" s="4" t="s">
        <v>496</v>
      </c>
      <c r="I2" s="4" t="s">
        <v>497</v>
      </c>
      <c r="J2" s="7" t="s">
        <v>498</v>
      </c>
      <c r="K2" s="8"/>
    </row>
    <row r="3" customFormat="false" ht="35.05" hidden="false" customHeight="false" outlineLevel="0" collapsed="false">
      <c r="A3" s="6" t="n">
        <v>948</v>
      </c>
      <c r="B3" s="4" t="s">
        <v>499</v>
      </c>
      <c r="C3" s="6" t="s">
        <v>500</v>
      </c>
      <c r="D3" s="4" t="s">
        <v>501</v>
      </c>
      <c r="E3" s="6" t="n">
        <v>1999</v>
      </c>
      <c r="F3" s="4" t="s">
        <v>65</v>
      </c>
      <c r="G3" s="4" t="s">
        <v>495</v>
      </c>
      <c r="H3" s="4" t="s">
        <v>496</v>
      </c>
      <c r="I3" s="4" t="s">
        <v>502</v>
      </c>
      <c r="J3" s="7" t="s">
        <v>503</v>
      </c>
      <c r="K3" s="8"/>
    </row>
    <row r="4" customFormat="false" ht="35.05" hidden="false" customHeight="false" outlineLevel="0" collapsed="false">
      <c r="A4" s="6" t="n">
        <v>1610</v>
      </c>
      <c r="B4" s="4" t="s">
        <v>504</v>
      </c>
      <c r="C4" s="6" t="s">
        <v>505</v>
      </c>
      <c r="D4" s="4" t="s">
        <v>506</v>
      </c>
      <c r="E4" s="6" t="n">
        <v>2019</v>
      </c>
      <c r="F4" s="4" t="s">
        <v>65</v>
      </c>
      <c r="G4" s="4" t="s">
        <v>507</v>
      </c>
      <c r="H4" s="4" t="s">
        <v>508</v>
      </c>
      <c r="I4" s="4" t="s">
        <v>509</v>
      </c>
      <c r="J4" s="7" t="s">
        <v>510</v>
      </c>
      <c r="K4" s="8"/>
    </row>
    <row r="5" customFormat="false" ht="23.85" hidden="false" customHeight="false" outlineLevel="0" collapsed="false">
      <c r="A5" s="6" t="n">
        <v>502</v>
      </c>
      <c r="B5" s="4" t="s">
        <v>511</v>
      </c>
      <c r="C5" s="6" t="s">
        <v>512</v>
      </c>
      <c r="D5" s="4" t="s">
        <v>513</v>
      </c>
      <c r="E5" s="6" t="n">
        <v>1999</v>
      </c>
      <c r="F5" s="4" t="s">
        <v>65</v>
      </c>
      <c r="G5" s="4" t="s">
        <v>507</v>
      </c>
      <c r="H5" s="4" t="s">
        <v>496</v>
      </c>
      <c r="I5" s="4" t="s">
        <v>514</v>
      </c>
      <c r="J5" s="7" t="s">
        <v>515</v>
      </c>
      <c r="K5" s="8"/>
    </row>
    <row r="6" customFormat="false" ht="23.85" hidden="false" customHeight="false" outlineLevel="0" collapsed="false">
      <c r="A6" s="6" t="n">
        <v>677</v>
      </c>
      <c r="B6" s="4" t="s">
        <v>516</v>
      </c>
      <c r="C6" s="6" t="s">
        <v>517</v>
      </c>
      <c r="D6" s="4" t="s">
        <v>513</v>
      </c>
      <c r="E6" s="6" t="n">
        <v>1993</v>
      </c>
      <c r="F6" s="4" t="s">
        <v>65</v>
      </c>
      <c r="G6" s="4" t="s">
        <v>507</v>
      </c>
      <c r="H6" s="4" t="s">
        <v>518</v>
      </c>
      <c r="I6" s="4" t="s">
        <v>519</v>
      </c>
      <c r="J6" s="7" t="s">
        <v>520</v>
      </c>
      <c r="K6" s="8"/>
    </row>
    <row r="7" customFormat="false" ht="35.05" hidden="false" customHeight="false" outlineLevel="0" collapsed="false">
      <c r="A7" s="6" t="n">
        <v>1328</v>
      </c>
      <c r="B7" s="4" t="s">
        <v>521</v>
      </c>
      <c r="C7" s="6" t="s">
        <v>522</v>
      </c>
      <c r="D7" s="4" t="s">
        <v>501</v>
      </c>
      <c r="E7" s="6" t="n">
        <v>2010</v>
      </c>
      <c r="F7" s="4" t="s">
        <v>65</v>
      </c>
      <c r="G7" s="4" t="s">
        <v>507</v>
      </c>
      <c r="H7" s="4" t="s">
        <v>523</v>
      </c>
      <c r="I7" s="4" t="s">
        <v>524</v>
      </c>
      <c r="J7" s="7" t="s">
        <v>525</v>
      </c>
      <c r="K7" s="8"/>
    </row>
    <row r="8" customFormat="false" ht="35.05" hidden="false" customHeight="false" outlineLevel="0" collapsed="false">
      <c r="A8" s="6" t="n">
        <v>1091</v>
      </c>
      <c r="B8" s="4" t="s">
        <v>526</v>
      </c>
      <c r="C8" s="6" t="s">
        <v>527</v>
      </c>
      <c r="D8" s="4" t="s">
        <v>528</v>
      </c>
      <c r="E8" s="6" t="n">
        <v>2004</v>
      </c>
      <c r="F8" s="4" t="s">
        <v>65</v>
      </c>
      <c r="G8" s="4" t="s">
        <v>507</v>
      </c>
      <c r="H8" s="4" t="s">
        <v>529</v>
      </c>
      <c r="I8" s="4" t="s">
        <v>530</v>
      </c>
      <c r="J8" s="7" t="s">
        <v>531</v>
      </c>
      <c r="K8" s="8"/>
    </row>
    <row r="9" customFormat="false" ht="23.85" hidden="false" customHeight="false" outlineLevel="0" collapsed="false">
      <c r="A9" s="6" t="n">
        <v>1537</v>
      </c>
      <c r="B9" s="4" t="s">
        <v>532</v>
      </c>
      <c r="C9" s="6" t="s">
        <v>533</v>
      </c>
      <c r="D9" s="4" t="s">
        <v>534</v>
      </c>
      <c r="E9" s="6" t="n">
        <v>2018</v>
      </c>
      <c r="F9" s="4" t="s">
        <v>65</v>
      </c>
      <c r="G9" s="4" t="s">
        <v>507</v>
      </c>
      <c r="H9" s="4" t="s">
        <v>333</v>
      </c>
      <c r="I9" s="4" t="s">
        <v>535</v>
      </c>
      <c r="J9" s="7" t="s">
        <v>536</v>
      </c>
      <c r="K9" s="8"/>
    </row>
    <row r="10" customFormat="false" ht="29.85" hidden="false" customHeight="false" outlineLevel="0" collapsed="false">
      <c r="A10" s="6" t="n">
        <v>144</v>
      </c>
      <c r="B10" s="4" t="s">
        <v>537</v>
      </c>
      <c r="C10" s="6" t="s">
        <v>538</v>
      </c>
      <c r="D10" s="4" t="s">
        <v>539</v>
      </c>
      <c r="E10" s="6" t="n">
        <v>1981</v>
      </c>
      <c r="F10" s="4" t="s">
        <v>65</v>
      </c>
      <c r="G10" s="4" t="s">
        <v>507</v>
      </c>
      <c r="H10" s="4" t="s">
        <v>540</v>
      </c>
      <c r="I10" s="4" t="s">
        <v>541</v>
      </c>
      <c r="J10" s="7" t="s">
        <v>542</v>
      </c>
      <c r="K10" s="8"/>
    </row>
    <row r="11" customFormat="false" ht="23.85" hidden="false" customHeight="false" outlineLevel="0" collapsed="false">
      <c r="A11" s="6" t="n">
        <v>365</v>
      </c>
      <c r="B11" s="4" t="s">
        <v>543</v>
      </c>
      <c r="C11" s="6" t="s">
        <v>544</v>
      </c>
      <c r="D11" s="4" t="s">
        <v>545</v>
      </c>
      <c r="E11" s="6" t="n">
        <v>1986</v>
      </c>
      <c r="F11" s="4" t="s">
        <v>65</v>
      </c>
      <c r="G11" s="4" t="s">
        <v>507</v>
      </c>
      <c r="H11" s="4" t="s">
        <v>546</v>
      </c>
      <c r="I11" s="4" t="s">
        <v>547</v>
      </c>
      <c r="J11" s="7" t="s">
        <v>548</v>
      </c>
      <c r="K11" s="8"/>
    </row>
    <row r="12" customFormat="false" ht="23.85" hidden="false" customHeight="false" outlineLevel="0" collapsed="false">
      <c r="A12" s="6" t="n">
        <v>1246</v>
      </c>
      <c r="B12" s="4" t="s">
        <v>549</v>
      </c>
      <c r="C12" s="6" t="s">
        <v>550</v>
      </c>
      <c r="D12" s="4" t="s">
        <v>551</v>
      </c>
      <c r="E12" s="6" t="n">
        <v>2007</v>
      </c>
      <c r="F12" s="4" t="s">
        <v>65</v>
      </c>
      <c r="G12" s="4" t="s">
        <v>507</v>
      </c>
      <c r="H12" s="4" t="s">
        <v>333</v>
      </c>
      <c r="I12" s="4" t="s">
        <v>552</v>
      </c>
      <c r="J12" s="7" t="s">
        <v>553</v>
      </c>
      <c r="K12" s="8"/>
    </row>
    <row r="13" customFormat="false" ht="23.85" hidden="false" customHeight="false" outlineLevel="0" collapsed="false">
      <c r="A13" s="6" t="n">
        <v>972</v>
      </c>
      <c r="B13" s="4" t="s">
        <v>554</v>
      </c>
      <c r="C13" s="6" t="s">
        <v>555</v>
      </c>
      <c r="D13" s="4" t="s">
        <v>551</v>
      </c>
      <c r="E13" s="6" t="n">
        <v>2000</v>
      </c>
      <c r="F13" s="4" t="s">
        <v>65</v>
      </c>
      <c r="G13" s="4" t="s">
        <v>556</v>
      </c>
      <c r="H13" s="4" t="s">
        <v>557</v>
      </c>
      <c r="I13" s="4" t="s">
        <v>558</v>
      </c>
      <c r="J13" s="7" t="s">
        <v>559</v>
      </c>
      <c r="K13" s="8"/>
    </row>
    <row r="14" customFormat="false" ht="35.05" hidden="false" customHeight="false" outlineLevel="0" collapsed="false">
      <c r="A14" s="6" t="n">
        <v>660</v>
      </c>
      <c r="B14" s="4" t="s">
        <v>560</v>
      </c>
      <c r="C14" s="6" t="s">
        <v>561</v>
      </c>
      <c r="D14" s="4" t="s">
        <v>551</v>
      </c>
      <c r="E14" s="6" t="n">
        <v>1993</v>
      </c>
      <c r="F14" s="4" t="s">
        <v>65</v>
      </c>
      <c r="G14" s="4" t="s">
        <v>507</v>
      </c>
      <c r="H14" s="4" t="s">
        <v>562</v>
      </c>
      <c r="I14" s="4" t="s">
        <v>563</v>
      </c>
      <c r="J14" s="7" t="s">
        <v>564</v>
      </c>
      <c r="K14" s="8"/>
    </row>
    <row r="15" customFormat="false" ht="29.85" hidden="false" customHeight="false" outlineLevel="0" collapsed="false">
      <c r="A15" s="6" t="n">
        <v>688</v>
      </c>
      <c r="B15" s="4" t="s">
        <v>565</v>
      </c>
      <c r="C15" s="6" t="s">
        <v>566</v>
      </c>
      <c r="D15" s="4" t="s">
        <v>551</v>
      </c>
      <c r="E15" s="6" t="n">
        <v>1994</v>
      </c>
      <c r="F15" s="4" t="s">
        <v>65</v>
      </c>
      <c r="G15" s="4" t="s">
        <v>507</v>
      </c>
      <c r="H15" s="4" t="s">
        <v>562</v>
      </c>
      <c r="I15" s="4" t="s">
        <v>567</v>
      </c>
      <c r="J15" s="7" t="s">
        <v>568</v>
      </c>
      <c r="K15" s="8"/>
    </row>
    <row r="16" customFormat="false" ht="23.85" hidden="false" customHeight="false" outlineLevel="0" collapsed="false">
      <c r="A16" s="6" t="n">
        <v>870</v>
      </c>
      <c r="B16" s="4" t="s">
        <v>569</v>
      </c>
      <c r="C16" s="6" t="s">
        <v>570</v>
      </c>
      <c r="D16" s="4" t="s">
        <v>551</v>
      </c>
      <c r="E16" s="6" t="n">
        <v>1998</v>
      </c>
      <c r="F16" s="4" t="s">
        <v>65</v>
      </c>
      <c r="G16" s="4" t="s">
        <v>556</v>
      </c>
      <c r="H16" s="4" t="s">
        <v>562</v>
      </c>
      <c r="I16" s="4" t="s">
        <v>571</v>
      </c>
      <c r="J16" s="7" t="s">
        <v>572</v>
      </c>
      <c r="K16" s="8"/>
    </row>
    <row r="17" customFormat="false" ht="23.85" hidden="false" customHeight="false" outlineLevel="0" collapsed="false">
      <c r="A17" s="6" t="n">
        <v>1142</v>
      </c>
      <c r="B17" s="4" t="s">
        <v>573</v>
      </c>
      <c r="C17" s="6" t="s">
        <v>574</v>
      </c>
      <c r="D17" s="4" t="s">
        <v>551</v>
      </c>
      <c r="E17" s="6" t="n">
        <v>2004</v>
      </c>
      <c r="F17" s="4" t="s">
        <v>65</v>
      </c>
      <c r="G17" s="4" t="s">
        <v>507</v>
      </c>
      <c r="H17" s="4" t="s">
        <v>562</v>
      </c>
      <c r="I17" s="4" t="s">
        <v>575</v>
      </c>
      <c r="J17" s="7" t="s">
        <v>576</v>
      </c>
      <c r="K17" s="8"/>
    </row>
    <row r="18" customFormat="false" ht="23.85" hidden="false" customHeight="false" outlineLevel="0" collapsed="false">
      <c r="A18" s="6" t="n">
        <v>1757</v>
      </c>
      <c r="B18" s="4" t="s">
        <v>577</v>
      </c>
      <c r="C18" s="6" t="s">
        <v>578</v>
      </c>
      <c r="D18" s="4" t="s">
        <v>551</v>
      </c>
      <c r="E18" s="6" t="n">
        <v>2026</v>
      </c>
      <c r="F18" s="4" t="s">
        <v>65</v>
      </c>
      <c r="G18" s="4" t="s">
        <v>507</v>
      </c>
      <c r="H18" s="4" t="s">
        <v>562</v>
      </c>
      <c r="I18" s="4" t="s">
        <v>579</v>
      </c>
      <c r="J18" s="7" t="s">
        <v>580</v>
      </c>
      <c r="K18" s="8"/>
    </row>
    <row r="19" customFormat="false" ht="15" hidden="false" customHeight="false" outlineLevel="0" collapsed="false">
      <c r="A19" s="6" t="n">
        <v>1477</v>
      </c>
      <c r="B19" s="4" t="s">
        <v>581</v>
      </c>
      <c r="C19" s="6" t="s">
        <v>582</v>
      </c>
      <c r="D19" s="4" t="s">
        <v>583</v>
      </c>
      <c r="E19" s="6" t="n">
        <v>2015</v>
      </c>
      <c r="F19" s="4" t="s">
        <v>65</v>
      </c>
      <c r="G19" s="4" t="s">
        <v>507</v>
      </c>
      <c r="H19" s="4" t="s">
        <v>584</v>
      </c>
      <c r="I19" s="4" t="s">
        <v>585</v>
      </c>
      <c r="J19" s="7" t="s">
        <v>586</v>
      </c>
      <c r="K19" s="8"/>
    </row>
    <row r="20" customFormat="false" ht="23.85" hidden="false" customHeight="false" outlineLevel="0" collapsed="false">
      <c r="A20" s="6" t="n">
        <v>1498</v>
      </c>
      <c r="B20" s="4" t="s">
        <v>587</v>
      </c>
      <c r="C20" s="6" t="s">
        <v>588</v>
      </c>
      <c r="D20" s="4" t="s">
        <v>583</v>
      </c>
      <c r="E20" s="6" t="n">
        <v>2019</v>
      </c>
      <c r="F20" s="4" t="s">
        <v>65</v>
      </c>
      <c r="G20" s="4" t="s">
        <v>507</v>
      </c>
      <c r="H20" s="4" t="s">
        <v>562</v>
      </c>
      <c r="I20" s="4" t="s">
        <v>589</v>
      </c>
      <c r="J20" s="7" t="s">
        <v>590</v>
      </c>
      <c r="K20" s="8"/>
    </row>
    <row r="21" customFormat="false" ht="23.85" hidden="false" customHeight="false" outlineLevel="0" collapsed="false">
      <c r="A21" s="6" t="n">
        <v>1439</v>
      </c>
      <c r="B21" s="4" t="s">
        <v>591</v>
      </c>
      <c r="C21" s="6"/>
      <c r="D21" s="4" t="s">
        <v>583</v>
      </c>
      <c r="E21" s="6" t="n">
        <v>2014</v>
      </c>
      <c r="F21" s="4" t="s">
        <v>65</v>
      </c>
      <c r="G21" s="4" t="s">
        <v>507</v>
      </c>
      <c r="H21" s="4" t="s">
        <v>592</v>
      </c>
      <c r="I21" s="4" t="s">
        <v>593</v>
      </c>
      <c r="J21" s="7" t="s">
        <v>594</v>
      </c>
      <c r="K21" s="8"/>
    </row>
    <row r="22" customFormat="false" ht="23.85" hidden="false" customHeight="false" outlineLevel="0" collapsed="false">
      <c r="A22" s="6" t="n">
        <v>559</v>
      </c>
      <c r="B22" s="4" t="s">
        <v>595</v>
      </c>
      <c r="C22" s="6" t="s">
        <v>596</v>
      </c>
      <c r="D22" s="4" t="s">
        <v>597</v>
      </c>
      <c r="E22" s="6" t="n">
        <v>1991</v>
      </c>
      <c r="F22" s="4" t="s">
        <v>65</v>
      </c>
      <c r="G22" s="4" t="s">
        <v>507</v>
      </c>
      <c r="H22" s="4" t="s">
        <v>598</v>
      </c>
      <c r="I22" s="4" t="s">
        <v>599</v>
      </c>
      <c r="J22" s="7" t="s">
        <v>600</v>
      </c>
      <c r="K22" s="8"/>
    </row>
    <row r="23" customFormat="false" ht="23.85" hidden="false" customHeight="false" outlineLevel="0" collapsed="false">
      <c r="A23" s="6" t="n">
        <v>1759</v>
      </c>
      <c r="B23" s="4" t="s">
        <v>601</v>
      </c>
      <c r="C23" s="6" t="s">
        <v>602</v>
      </c>
      <c r="D23" s="4" t="s">
        <v>603</v>
      </c>
      <c r="E23" s="6" t="n">
        <v>2026</v>
      </c>
      <c r="F23" s="4" t="s">
        <v>65</v>
      </c>
      <c r="G23" s="4" t="s">
        <v>507</v>
      </c>
      <c r="H23" s="4" t="s">
        <v>604</v>
      </c>
      <c r="I23" s="4" t="s">
        <v>605</v>
      </c>
      <c r="J23" s="7" t="s">
        <v>606</v>
      </c>
      <c r="K23" s="8"/>
    </row>
    <row r="24" customFormat="false" ht="29.85" hidden="false" customHeight="false" outlineLevel="0" collapsed="false">
      <c r="A24" s="6" t="n">
        <v>1675</v>
      </c>
      <c r="B24" s="4" t="s">
        <v>607</v>
      </c>
      <c r="C24" s="6" t="s">
        <v>608</v>
      </c>
      <c r="D24" s="4" t="s">
        <v>609</v>
      </c>
      <c r="E24" s="6" t="n">
        <v>2023</v>
      </c>
      <c r="F24" s="4" t="s">
        <v>285</v>
      </c>
      <c r="G24" s="4" t="s">
        <v>610</v>
      </c>
      <c r="H24" s="4" t="s">
        <v>611</v>
      </c>
      <c r="I24" s="4" t="s">
        <v>612</v>
      </c>
      <c r="J24" s="7" t="s">
        <v>613</v>
      </c>
      <c r="K24" s="8"/>
    </row>
    <row r="25" customFormat="false" ht="15" hidden="false" customHeight="false" outlineLevel="0" collapsed="false">
      <c r="A25" s="6" t="n">
        <v>1346</v>
      </c>
      <c r="B25" s="4" t="s">
        <v>614</v>
      </c>
      <c r="C25" s="6" t="s">
        <v>615</v>
      </c>
      <c r="D25" s="4" t="s">
        <v>616</v>
      </c>
      <c r="E25" s="6" t="n">
        <v>2010</v>
      </c>
      <c r="F25" s="4" t="s">
        <v>65</v>
      </c>
      <c r="G25" s="4" t="s">
        <v>507</v>
      </c>
      <c r="H25" s="4" t="s">
        <v>83</v>
      </c>
      <c r="I25" s="4" t="s">
        <v>617</v>
      </c>
      <c r="J25" s="7" t="s">
        <v>618</v>
      </c>
      <c r="K25" s="8"/>
    </row>
    <row r="26" customFormat="false" ht="15" hidden="false" customHeight="false" outlineLevel="0" collapsed="false">
      <c r="A26" s="6" t="n">
        <v>1544</v>
      </c>
      <c r="B26" s="4" t="s">
        <v>619</v>
      </c>
      <c r="C26" s="6"/>
      <c r="D26" s="4" t="s">
        <v>616</v>
      </c>
      <c r="E26" s="6" t="n">
        <v>2017</v>
      </c>
      <c r="F26" s="4" t="s">
        <v>65</v>
      </c>
      <c r="G26" s="4" t="s">
        <v>507</v>
      </c>
      <c r="H26" s="4" t="s">
        <v>83</v>
      </c>
      <c r="I26" s="4" t="s">
        <v>620</v>
      </c>
      <c r="J26" s="7" t="s">
        <v>621</v>
      </c>
      <c r="K26" s="8"/>
    </row>
    <row r="27" customFormat="false" ht="15" hidden="false" customHeight="false" outlineLevel="0" collapsed="false">
      <c r="A27" s="6" t="n">
        <v>1230</v>
      </c>
      <c r="B27" s="4" t="s">
        <v>622</v>
      </c>
      <c r="C27" s="6"/>
      <c r="D27" s="4" t="s">
        <v>623</v>
      </c>
      <c r="E27" s="6" t="n">
        <v>2009</v>
      </c>
      <c r="F27" s="4" t="s">
        <v>65</v>
      </c>
      <c r="G27" s="4" t="s">
        <v>507</v>
      </c>
      <c r="H27" s="4" t="s">
        <v>83</v>
      </c>
      <c r="I27" s="4" t="s">
        <v>624</v>
      </c>
      <c r="J27" s="7" t="s">
        <v>625</v>
      </c>
      <c r="K27" s="8"/>
    </row>
    <row r="28" customFormat="false" ht="15" hidden="false" customHeight="false" outlineLevel="0" collapsed="false">
      <c r="A28" s="6" t="n">
        <v>1627</v>
      </c>
      <c r="B28" s="4" t="s">
        <v>626</v>
      </c>
      <c r="C28" s="6" t="s">
        <v>627</v>
      </c>
      <c r="D28" s="4" t="s">
        <v>628</v>
      </c>
      <c r="E28" s="6" t="n">
        <v>2025</v>
      </c>
      <c r="F28" s="4" t="s">
        <v>65</v>
      </c>
      <c r="G28" s="4" t="s">
        <v>507</v>
      </c>
      <c r="H28" s="4" t="s">
        <v>83</v>
      </c>
      <c r="I28" s="4" t="s">
        <v>629</v>
      </c>
      <c r="J28" s="7" t="s">
        <v>630</v>
      </c>
      <c r="K28" s="8"/>
    </row>
    <row r="29" customFormat="false" ht="15" hidden="false" customHeight="false" outlineLevel="0" collapsed="false">
      <c r="A29" s="6" t="n">
        <v>1518</v>
      </c>
      <c r="B29" s="4" t="s">
        <v>631</v>
      </c>
      <c r="C29" s="6"/>
      <c r="D29" s="4" t="s">
        <v>632</v>
      </c>
      <c r="E29" s="6" t="n">
        <v>2016</v>
      </c>
      <c r="F29" s="4" t="s">
        <v>65</v>
      </c>
      <c r="G29" s="4" t="s">
        <v>507</v>
      </c>
      <c r="H29" s="4" t="s">
        <v>83</v>
      </c>
      <c r="I29" s="4" t="s">
        <v>633</v>
      </c>
      <c r="J29" s="7" t="s">
        <v>634</v>
      </c>
      <c r="K29" s="8"/>
    </row>
    <row r="30" customFormat="false" ht="29.85" hidden="false" customHeight="false" outlineLevel="0" collapsed="false">
      <c r="A30" s="6" t="n">
        <v>208</v>
      </c>
      <c r="B30" s="4" t="s">
        <v>635</v>
      </c>
      <c r="C30" s="6" t="s">
        <v>636</v>
      </c>
      <c r="D30" s="4" t="s">
        <v>637</v>
      </c>
      <c r="E30" s="6" t="n">
        <v>2003</v>
      </c>
      <c r="F30" s="4" t="s">
        <v>65</v>
      </c>
      <c r="G30" s="4" t="s">
        <v>556</v>
      </c>
      <c r="H30" s="4" t="s">
        <v>83</v>
      </c>
      <c r="I30" s="4" t="s">
        <v>638</v>
      </c>
      <c r="J30" s="7" t="s">
        <v>639</v>
      </c>
      <c r="K30" s="8"/>
    </row>
    <row r="31" customFormat="false" ht="23.85" hidden="false" customHeight="false" outlineLevel="0" collapsed="false">
      <c r="A31" s="6" t="n">
        <v>1448</v>
      </c>
      <c r="B31" s="4" t="s">
        <v>640</v>
      </c>
      <c r="C31" s="6"/>
      <c r="D31" s="4" t="s">
        <v>641</v>
      </c>
      <c r="E31" s="6" t="n">
        <v>2017</v>
      </c>
      <c r="F31" s="4" t="s">
        <v>285</v>
      </c>
      <c r="G31" s="4" t="s">
        <v>507</v>
      </c>
      <c r="H31" s="4" t="s">
        <v>642</v>
      </c>
      <c r="I31" s="4" t="s">
        <v>643</v>
      </c>
      <c r="J31" s="7" t="s">
        <v>644</v>
      </c>
      <c r="K31" s="8"/>
    </row>
    <row r="32" customFormat="false" ht="23.85" hidden="false" customHeight="false" outlineLevel="0" collapsed="false">
      <c r="A32" s="6" t="n">
        <v>340</v>
      </c>
      <c r="B32" s="4" t="s">
        <v>645</v>
      </c>
      <c r="C32" s="6" t="s">
        <v>646</v>
      </c>
      <c r="D32" s="4" t="s">
        <v>647</v>
      </c>
      <c r="E32" s="6" t="n">
        <v>1985</v>
      </c>
      <c r="F32" s="4" t="s">
        <v>65</v>
      </c>
      <c r="G32" s="4" t="s">
        <v>507</v>
      </c>
      <c r="H32" s="4" t="s">
        <v>642</v>
      </c>
      <c r="I32" s="4" t="s">
        <v>648</v>
      </c>
      <c r="J32" s="7" t="s">
        <v>649</v>
      </c>
      <c r="K32" s="8"/>
    </row>
    <row r="33" customFormat="false" ht="15" hidden="false" customHeight="false" outlineLevel="0" collapsed="false">
      <c r="A33" s="6" t="n">
        <v>1012</v>
      </c>
      <c r="B33" s="4" t="s">
        <v>650</v>
      </c>
      <c r="C33" s="6" t="s">
        <v>651</v>
      </c>
      <c r="D33" s="4" t="s">
        <v>494</v>
      </c>
      <c r="E33" s="6" t="n">
        <v>2000</v>
      </c>
      <c r="F33" s="4" t="s">
        <v>65</v>
      </c>
      <c r="G33" s="4" t="s">
        <v>507</v>
      </c>
      <c r="H33" s="4" t="s">
        <v>642</v>
      </c>
      <c r="I33" s="4" t="s">
        <v>652</v>
      </c>
      <c r="J33" s="7" t="s">
        <v>653</v>
      </c>
      <c r="K33" s="8"/>
    </row>
    <row r="34" customFormat="false" ht="35.05" hidden="false" customHeight="false" outlineLevel="0" collapsed="false">
      <c r="A34" s="6" t="n">
        <v>1574</v>
      </c>
      <c r="B34" s="4" t="s">
        <v>654</v>
      </c>
      <c r="C34" s="6" t="s">
        <v>655</v>
      </c>
      <c r="D34" s="4" t="s">
        <v>551</v>
      </c>
      <c r="E34" s="6" t="n">
        <v>2021</v>
      </c>
      <c r="F34" s="4" t="s">
        <v>65</v>
      </c>
      <c r="G34" s="4" t="s">
        <v>507</v>
      </c>
      <c r="H34" s="4" t="s">
        <v>642</v>
      </c>
      <c r="I34" s="4" t="s">
        <v>656</v>
      </c>
      <c r="J34" s="7" t="s">
        <v>657</v>
      </c>
      <c r="K34" s="8"/>
    </row>
  </sheetData>
  <autoFilter ref="A1:K34"/>
  <hyperlinks>
    <hyperlink ref="J2" r:id="rId1" display="https://whc.unesco.org/en/list/1223/"/>
    <hyperlink ref="J3" r:id="rId2" display="https://whc.unesco.org/en/list/948/"/>
    <hyperlink ref="J4" r:id="rId3" display="https://whc.unesco.org/en/list/1610/"/>
    <hyperlink ref="J5" r:id="rId4" display="https://whc.unesco.org/en/list/502/"/>
    <hyperlink ref="J6" r:id="rId5" display="https://whc.unesco.org/en/list/677/"/>
    <hyperlink ref="J7" r:id="rId6" display="https://whc.unesco.org/en/list/1328/"/>
    <hyperlink ref="J8" r:id="rId7" display="https://whc.unesco.org/en/list/1091/"/>
    <hyperlink ref="J9" r:id="rId8" display="https://whc.unesco.org/en/list/1537/"/>
    <hyperlink ref="J10" r:id="rId9" display="https://whc.unesco.org/en/list/144/"/>
    <hyperlink ref="J11" r:id="rId10" display="https://whc.unesco.org/en/list/365/"/>
    <hyperlink ref="J12" r:id="rId11" display="https://whc.unesco.org/en/list/1246/"/>
    <hyperlink ref="J13" r:id="rId12" display="https://whc.unesco.org/en/list/972/"/>
    <hyperlink ref="J14" r:id="rId13" display="https://whc.unesco.org/en/list/660/"/>
    <hyperlink ref="J15" r:id="rId14" display="https://whc.unesco.org/en/list/688/"/>
    <hyperlink ref="J16" r:id="rId15" display="https://whc.unesco.org/en/list/870/"/>
    <hyperlink ref="J17" r:id="rId16" display="https://whc.unesco.org/en/list/1142/"/>
    <hyperlink ref="J18" r:id="rId17" display="https://whc.unesco.org/en/list/1757/"/>
    <hyperlink ref="J19" r:id="rId18" display="https://whc.unesco.org/en/list/1477/"/>
    <hyperlink ref="J20" r:id="rId19" display="https://whc.unesco.org/en/list/1498/"/>
    <hyperlink ref="J21" r:id="rId20" display="https://whc.unesco.org/en/list/1439/"/>
    <hyperlink ref="J22" r:id="rId21" display="https://whc.unesco.org/en/list/559/"/>
    <hyperlink ref="J23" r:id="rId22" display="https://whc.unesco.org/en/list/1759/"/>
    <hyperlink ref="J24" r:id="rId23" display="https://whc.unesco.org/en/list/1675/"/>
    <hyperlink ref="J25" r:id="rId24" display="https://whc.unesco.org/en/list/1346/"/>
    <hyperlink ref="J26" r:id="rId25" display="https://whc.unesco.org/en/list/1544/"/>
    <hyperlink ref="J27" r:id="rId26" display="https://whc.unesco.org/en/list/1230/"/>
    <hyperlink ref="J28" r:id="rId27" display="https://whc.unesco.org/en/list/1627/"/>
    <hyperlink ref="J29" r:id="rId28" display="https://whc.unesco.org/en/list/1518/"/>
    <hyperlink ref="J30" r:id="rId29" display="https://whc.unesco.org/en/list/208/"/>
    <hyperlink ref="J31" r:id="rId30" display="https://whc.unesco.org/en/list/1448/"/>
    <hyperlink ref="J32" r:id="rId31" display="https://whc.unesco.org/en/list/340/"/>
    <hyperlink ref="J33" r:id="rId32" display="https://whc.unesco.org/en/list/1012/"/>
    <hyperlink ref="J34" r:id="rId33" display="https://whc.unesco.org/en/list/15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24"/>
    <col collapsed="false" customWidth="true" hidden="false" outlineLevel="0" max="4" min="4" style="0" width="18"/>
    <col collapsed="false" customWidth="true" hidden="false" outlineLevel="0" max="5" min="5" style="0" width="26"/>
    <col collapsed="false" customWidth="true" hidden="false" outlineLevel="0" max="6" min="6" style="0" width="20"/>
    <col collapsed="false" customWidth="true" hidden="false" outlineLevel="0" max="7" min="7" style="0" width="70"/>
    <col collapsed="false" customWidth="true" hidden="false" outlineLevel="0" max="8" min="8" style="0" width="40"/>
  </cols>
  <sheetData>
    <row r="1" customFormat="false" ht="31.5" hidden="false" customHeight="true" outlineLevel="0" collapsed="false">
      <c r="A1" s="5" t="s">
        <v>658</v>
      </c>
      <c r="B1" s="5" t="s">
        <v>659</v>
      </c>
      <c r="C1" s="5" t="s">
        <v>660</v>
      </c>
      <c r="D1" s="5" t="s">
        <v>661</v>
      </c>
      <c r="E1" s="5" t="s">
        <v>662</v>
      </c>
      <c r="F1" s="5" t="s">
        <v>663</v>
      </c>
      <c r="G1" s="5" t="s">
        <v>364</v>
      </c>
      <c r="H1" s="5" t="s">
        <v>664</v>
      </c>
    </row>
    <row r="2" customFormat="false" ht="46.25" hidden="false" customHeight="false" outlineLevel="0" collapsed="false">
      <c r="A2" s="4" t="s">
        <v>665</v>
      </c>
      <c r="B2" s="4" t="s">
        <v>666</v>
      </c>
      <c r="C2" s="4" t="s">
        <v>667</v>
      </c>
      <c r="D2" s="4" t="s">
        <v>668</v>
      </c>
      <c r="E2" s="4" t="s">
        <v>669</v>
      </c>
      <c r="F2" s="4" t="s">
        <v>670</v>
      </c>
      <c r="G2" s="4" t="s">
        <v>671</v>
      </c>
      <c r="H2" s="7" t="s">
        <v>672</v>
      </c>
    </row>
    <row r="3" customFormat="false" ht="23.85" hidden="false" customHeight="false" outlineLevel="0" collapsed="false">
      <c r="A3" s="4" t="s">
        <v>665</v>
      </c>
      <c r="B3" s="4" t="s">
        <v>673</v>
      </c>
      <c r="C3" s="4" t="s">
        <v>674</v>
      </c>
      <c r="D3" s="4" t="s">
        <v>675</v>
      </c>
      <c r="E3" s="4" t="s">
        <v>676</v>
      </c>
      <c r="F3" s="4" t="s">
        <v>677</v>
      </c>
      <c r="G3" s="4" t="s">
        <v>678</v>
      </c>
      <c r="H3" s="7" t="s">
        <v>679</v>
      </c>
    </row>
    <row r="4" customFormat="false" ht="23.85" hidden="false" customHeight="false" outlineLevel="0" collapsed="false">
      <c r="A4" s="4" t="s">
        <v>680</v>
      </c>
      <c r="B4" s="4" t="s">
        <v>681</v>
      </c>
      <c r="C4" s="4" t="s">
        <v>682</v>
      </c>
      <c r="D4" s="4" t="s">
        <v>683</v>
      </c>
      <c r="E4" s="4" t="s">
        <v>684</v>
      </c>
      <c r="F4" s="4" t="s">
        <v>685</v>
      </c>
      <c r="G4" s="4" t="s">
        <v>686</v>
      </c>
      <c r="H4" s="7" t="s">
        <v>687</v>
      </c>
    </row>
    <row r="5" customFormat="false" ht="23.85" hidden="false" customHeight="false" outlineLevel="0" collapsed="false">
      <c r="A5" s="4" t="s">
        <v>688</v>
      </c>
      <c r="B5" s="4" t="s">
        <v>689</v>
      </c>
      <c r="C5" s="4" t="s">
        <v>690</v>
      </c>
      <c r="D5" s="4" t="s">
        <v>691</v>
      </c>
      <c r="E5" s="4" t="s">
        <v>676</v>
      </c>
      <c r="F5" s="4" t="s">
        <v>692</v>
      </c>
      <c r="G5" s="4" t="s">
        <v>693</v>
      </c>
      <c r="H5" s="7" t="s">
        <v>694</v>
      </c>
    </row>
    <row r="6" customFormat="false" ht="23.85" hidden="false" customHeight="false" outlineLevel="0" collapsed="false">
      <c r="A6" s="4" t="s">
        <v>688</v>
      </c>
      <c r="B6" s="4" t="s">
        <v>695</v>
      </c>
      <c r="C6" s="4" t="s">
        <v>690</v>
      </c>
      <c r="D6" s="4" t="s">
        <v>691</v>
      </c>
      <c r="E6" s="4" t="s">
        <v>676</v>
      </c>
      <c r="F6" s="4" t="s">
        <v>692</v>
      </c>
      <c r="G6" s="4" t="s">
        <v>696</v>
      </c>
      <c r="H6" s="7" t="s">
        <v>694</v>
      </c>
    </row>
    <row r="7" customFormat="false" ht="23.85" hidden="false" customHeight="false" outlineLevel="0" collapsed="false">
      <c r="A7" s="4" t="s">
        <v>688</v>
      </c>
      <c r="B7" s="4" t="s">
        <v>697</v>
      </c>
      <c r="C7" s="4" t="s">
        <v>690</v>
      </c>
      <c r="D7" s="4" t="s">
        <v>698</v>
      </c>
      <c r="E7" s="4" t="s">
        <v>699</v>
      </c>
      <c r="F7" s="4" t="s">
        <v>700</v>
      </c>
      <c r="G7" s="4" t="s">
        <v>701</v>
      </c>
      <c r="H7" s="7" t="s">
        <v>694</v>
      </c>
    </row>
    <row r="8" customFormat="false" ht="46.25" hidden="false" customHeight="false" outlineLevel="0" collapsed="false">
      <c r="A8" s="4" t="s">
        <v>702</v>
      </c>
      <c r="B8" s="4" t="s">
        <v>703</v>
      </c>
      <c r="C8" s="4" t="s">
        <v>690</v>
      </c>
      <c r="D8" s="4" t="s">
        <v>704</v>
      </c>
      <c r="E8" s="4" t="s">
        <v>705</v>
      </c>
      <c r="F8" s="4" t="s">
        <v>706</v>
      </c>
      <c r="G8" s="4" t="s">
        <v>707</v>
      </c>
      <c r="H8" s="7" t="s">
        <v>708</v>
      </c>
    </row>
    <row r="9" customFormat="false" ht="35.05" hidden="false" customHeight="false" outlineLevel="0" collapsed="false">
      <c r="A9" s="4" t="s">
        <v>709</v>
      </c>
      <c r="B9" s="4" t="s">
        <v>710</v>
      </c>
      <c r="C9" s="4" t="s">
        <v>711</v>
      </c>
      <c r="D9" s="4" t="s">
        <v>712</v>
      </c>
      <c r="E9" s="4" t="s">
        <v>713</v>
      </c>
      <c r="F9" s="4" t="s">
        <v>714</v>
      </c>
      <c r="G9" s="4" t="s">
        <v>715</v>
      </c>
      <c r="H9" s="7" t="s">
        <v>716</v>
      </c>
    </row>
    <row r="10" customFormat="false" ht="46.25" hidden="false" customHeight="false" outlineLevel="0" collapsed="false">
      <c r="A10" s="4" t="s">
        <v>717</v>
      </c>
      <c r="B10" s="4" t="s">
        <v>718</v>
      </c>
      <c r="C10" s="4" t="s">
        <v>719</v>
      </c>
      <c r="D10" s="4" t="s">
        <v>720</v>
      </c>
      <c r="E10" s="4" t="s">
        <v>721</v>
      </c>
      <c r="F10" s="4" t="s">
        <v>83</v>
      </c>
      <c r="G10" s="4" t="s">
        <v>722</v>
      </c>
      <c r="H10" s="7" t="s">
        <v>723</v>
      </c>
    </row>
    <row r="11" customFormat="false" ht="35.05" hidden="false" customHeight="false" outlineLevel="0" collapsed="false">
      <c r="A11" s="4" t="s">
        <v>724</v>
      </c>
      <c r="B11" s="4" t="s">
        <v>725</v>
      </c>
      <c r="C11" s="4" t="s">
        <v>726</v>
      </c>
      <c r="D11" s="4" t="s">
        <v>727</v>
      </c>
      <c r="E11" s="4" t="s">
        <v>728</v>
      </c>
      <c r="F11" s="4" t="s">
        <v>729</v>
      </c>
      <c r="G11" s="4" t="s">
        <v>730</v>
      </c>
      <c r="H11" s="7" t="s">
        <v>731</v>
      </c>
    </row>
  </sheetData>
  <autoFilter ref="A1:H11"/>
  <hyperlinks>
    <hyperlink ref="H2" r:id="rId1" display="https://ich.unesco.org/en/RL/ong-chun-wangchuan-wangkang-ceremony-rituals-and-related-practices-for-maintaining-the-sustainable-connection-between-man-and-the-ocean-01608"/>
    <hyperlink ref="H3" r:id="rId2" display="https://ich.unesco.org/en/RL/urtiin-duu-traditional-folk-long-song-00115"/>
    <hyperlink ref="H4" r:id="rId3" display="https://ich.unesco.org/en/RL/mongolian-art-of-singing-khoomei-00210 ; https://ich.unesco.org/en/RL/mongolian-traditional-art-of-khoomei-00396"/>
    <hyperlink ref="H5" r:id="rId4" display="https://ich.unesco.org/en/state/china-CN?info=elements-on-the-lists"/>
    <hyperlink ref="H6" r:id="rId5" display="https://ich.unesco.org/en/state/china-CN?info=elements-on-the-lists"/>
    <hyperlink ref="H7" r:id="rId6" display="https://ich.unesco.org/en/state/china-CN?info=elements-on-the-lists"/>
    <hyperlink ref="H8" r:id="rId7" display="https://www.unesco.org/en/memory-world/qiaopi-and-yinxin-correspondence-and-remittance-documents-overseas-chinese"/>
    <hyperlink ref="H9" r:id="rId8" display="https://en.unesco.org/silkroad"/>
    <hyperlink ref="H10" r:id="rId9" display="https://southsouth-galaxy.org/solution/safeguarding-world-heritage-along-the-silk-roads/"/>
    <hyperlink ref="H11" r:id="rId10" display="https://whitrap.pku.edu.cn/About_us/Introduction_Center.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26"/>
    <col collapsed="false" customWidth="true" hidden="false" outlineLevel="0" max="3" min="3" style="0" width="8"/>
    <col collapsed="false" customWidth="true" hidden="false" outlineLevel="0" max="4" min="4" style="0" width="50"/>
  </cols>
  <sheetData>
    <row r="1" customFormat="false" ht="31.5" hidden="false" customHeight="true" outlineLevel="0" collapsed="false">
      <c r="A1" s="5" t="s">
        <v>732</v>
      </c>
      <c r="B1" s="5" t="s">
        <v>733</v>
      </c>
      <c r="C1" s="5" t="s">
        <v>734</v>
      </c>
      <c r="D1" s="5" t="s">
        <v>735</v>
      </c>
    </row>
    <row r="2" customFormat="false" ht="15" hidden="false" customHeight="false" outlineLevel="0" collapsed="false">
      <c r="A2" s="4" t="s">
        <v>736</v>
      </c>
      <c r="B2" s="4" t="s">
        <v>737</v>
      </c>
      <c r="C2" s="4" t="s">
        <v>236</v>
      </c>
      <c r="D2" s="7" t="s">
        <v>738</v>
      </c>
    </row>
    <row r="3" customFormat="false" ht="15" hidden="false" customHeight="false" outlineLevel="0" collapsed="false">
      <c r="A3" s="4" t="s">
        <v>739</v>
      </c>
      <c r="B3" s="4" t="s">
        <v>740</v>
      </c>
      <c r="C3" s="4" t="s">
        <v>236</v>
      </c>
      <c r="D3" s="7" t="s">
        <v>741</v>
      </c>
    </row>
    <row r="4" customFormat="false" ht="15" hidden="false" customHeight="false" outlineLevel="0" collapsed="false">
      <c r="A4" s="4" t="s">
        <v>742</v>
      </c>
      <c r="B4" s="4" t="s">
        <v>743</v>
      </c>
      <c r="C4" s="4" t="s">
        <v>236</v>
      </c>
      <c r="D4" s="7" t="s">
        <v>744</v>
      </c>
    </row>
    <row r="5" customFormat="false" ht="15" hidden="false" customHeight="false" outlineLevel="0" collapsed="false">
      <c r="A5" s="4" t="s">
        <v>745</v>
      </c>
      <c r="B5" s="4" t="s">
        <v>746</v>
      </c>
      <c r="C5" s="4" t="s">
        <v>236</v>
      </c>
      <c r="D5" s="7" t="s">
        <v>747</v>
      </c>
    </row>
    <row r="6" customFormat="false" ht="15" hidden="false" customHeight="false" outlineLevel="0" collapsed="false">
      <c r="A6" s="4" t="s">
        <v>748</v>
      </c>
      <c r="B6" s="4" t="s">
        <v>749</v>
      </c>
      <c r="C6" s="4" t="s">
        <v>750</v>
      </c>
      <c r="D6" s="7" t="s">
        <v>751</v>
      </c>
    </row>
    <row r="7" customFormat="false" ht="15" hidden="false" customHeight="false" outlineLevel="0" collapsed="false">
      <c r="A7" s="4" t="s">
        <v>752</v>
      </c>
      <c r="B7" s="4" t="s">
        <v>749</v>
      </c>
      <c r="C7" s="4" t="s">
        <v>753</v>
      </c>
      <c r="D7" s="7" t="s">
        <v>754</v>
      </c>
    </row>
    <row r="8" customFormat="false" ht="15" hidden="false" customHeight="false" outlineLevel="0" collapsed="false">
      <c r="A8" s="4" t="s">
        <v>755</v>
      </c>
      <c r="B8" s="4" t="s">
        <v>749</v>
      </c>
      <c r="C8" s="4" t="s">
        <v>756</v>
      </c>
      <c r="D8" s="7" t="s">
        <v>757</v>
      </c>
    </row>
    <row r="9" customFormat="false" ht="15" hidden="false" customHeight="false" outlineLevel="0" collapsed="false">
      <c r="A9" s="4" t="s">
        <v>758</v>
      </c>
      <c r="B9" s="4" t="s">
        <v>749</v>
      </c>
      <c r="C9" s="4" t="s">
        <v>759</v>
      </c>
      <c r="D9" s="7" t="s">
        <v>760</v>
      </c>
    </row>
    <row r="10" customFormat="false" ht="15" hidden="false" customHeight="false" outlineLevel="0" collapsed="false">
      <c r="A10" s="4" t="s">
        <v>761</v>
      </c>
      <c r="B10" s="4" t="s">
        <v>749</v>
      </c>
      <c r="C10" s="4" t="s">
        <v>762</v>
      </c>
      <c r="D10" s="7" t="s">
        <v>763</v>
      </c>
    </row>
    <row r="11" customFormat="false" ht="15" hidden="false" customHeight="false" outlineLevel="0" collapsed="false">
      <c r="A11" s="4" t="s">
        <v>764</v>
      </c>
      <c r="B11" s="4" t="s">
        <v>749</v>
      </c>
      <c r="C11" s="4" t="s">
        <v>765</v>
      </c>
      <c r="D11" s="7" t="s">
        <v>766</v>
      </c>
    </row>
    <row r="12" customFormat="false" ht="15" hidden="false" customHeight="false" outlineLevel="0" collapsed="false">
      <c r="A12" s="4" t="s">
        <v>767</v>
      </c>
      <c r="B12" s="4" t="s">
        <v>768</v>
      </c>
      <c r="C12" s="4" t="s">
        <v>750</v>
      </c>
      <c r="D12" s="7" t="s">
        <v>769</v>
      </c>
    </row>
    <row r="13" customFormat="false" ht="15" hidden="false" customHeight="false" outlineLevel="0" collapsed="false">
      <c r="A13" s="4" t="s">
        <v>770</v>
      </c>
      <c r="B13" s="4" t="s">
        <v>768</v>
      </c>
      <c r="C13" s="4" t="s">
        <v>750</v>
      </c>
      <c r="D13" s="7" t="s">
        <v>771</v>
      </c>
    </row>
    <row r="14" customFormat="false" ht="15" hidden="false" customHeight="false" outlineLevel="0" collapsed="false">
      <c r="A14" s="4" t="s">
        <v>772</v>
      </c>
      <c r="B14" s="4" t="s">
        <v>773</v>
      </c>
      <c r="C14" s="4" t="s">
        <v>762</v>
      </c>
      <c r="D14" s="7" t="s">
        <v>774</v>
      </c>
    </row>
    <row r="15" customFormat="false" ht="15" hidden="false" customHeight="false" outlineLevel="0" collapsed="false">
      <c r="A15" s="4" t="s">
        <v>775</v>
      </c>
      <c r="B15" s="4" t="s">
        <v>776</v>
      </c>
      <c r="C15" s="4" t="s">
        <v>327</v>
      </c>
      <c r="D15" s="7" t="s">
        <v>777</v>
      </c>
    </row>
    <row r="16" customFormat="false" ht="15" hidden="false" customHeight="false" outlineLevel="0" collapsed="false">
      <c r="A16" s="4" t="s">
        <v>778</v>
      </c>
      <c r="B16" s="4" t="s">
        <v>776</v>
      </c>
      <c r="C16" s="4" t="s">
        <v>668</v>
      </c>
      <c r="D16" s="7" t="s">
        <v>779</v>
      </c>
    </row>
    <row r="17" customFormat="false" ht="15" hidden="false" customHeight="false" outlineLevel="0" collapsed="false">
      <c r="A17" s="4" t="s">
        <v>780</v>
      </c>
      <c r="B17" s="4" t="s">
        <v>776</v>
      </c>
      <c r="C17" s="4" t="s">
        <v>756</v>
      </c>
      <c r="D17" s="7" t="s">
        <v>781</v>
      </c>
    </row>
    <row r="18" customFormat="false" ht="15" hidden="false" customHeight="false" outlineLevel="0" collapsed="false">
      <c r="A18" s="4" t="s">
        <v>780</v>
      </c>
      <c r="B18" s="4" t="s">
        <v>776</v>
      </c>
      <c r="C18" s="4" t="s">
        <v>753</v>
      </c>
      <c r="D18" s="7" t="s">
        <v>782</v>
      </c>
    </row>
    <row r="19" customFormat="false" ht="15" hidden="false" customHeight="false" outlineLevel="0" collapsed="false">
      <c r="A19" s="4" t="s">
        <v>783</v>
      </c>
      <c r="B19" s="4" t="s">
        <v>776</v>
      </c>
      <c r="C19" s="4" t="s">
        <v>753</v>
      </c>
      <c r="D19" s="7" t="s">
        <v>784</v>
      </c>
    </row>
    <row r="20" customFormat="false" ht="15" hidden="false" customHeight="false" outlineLevel="0" collapsed="false">
      <c r="A20" s="4" t="s">
        <v>780</v>
      </c>
      <c r="B20" s="4" t="s">
        <v>776</v>
      </c>
      <c r="C20" s="4" t="s">
        <v>750</v>
      </c>
      <c r="D20" s="7" t="s">
        <v>785</v>
      </c>
    </row>
    <row r="21" customFormat="false" ht="15" hidden="false" customHeight="false" outlineLevel="0" collapsed="false">
      <c r="A21" s="4" t="s">
        <v>786</v>
      </c>
      <c r="B21" s="4" t="s">
        <v>776</v>
      </c>
      <c r="C21" s="4" t="s">
        <v>750</v>
      </c>
      <c r="D21" s="7" t="s">
        <v>787</v>
      </c>
    </row>
    <row r="22" customFormat="false" ht="15" hidden="false" customHeight="false" outlineLevel="0" collapsed="false">
      <c r="A22" s="4" t="s">
        <v>788</v>
      </c>
      <c r="B22" s="4" t="s">
        <v>776</v>
      </c>
      <c r="C22" s="4" t="s">
        <v>789</v>
      </c>
      <c r="D22" s="7" t="s">
        <v>790</v>
      </c>
    </row>
  </sheetData>
  <autoFilter ref="A1:D22"/>
  <hyperlinks>
    <hyperlink ref="D2" r:id="rId1" display="https://whc.unesco.org/uploads/nominations/1442.pdf"/>
    <hyperlink ref="D3" r:id="rId2" display="https://whc.unesco.org/document/152690"/>
    <hyperlink ref="D4" r:id="rId3" display="https://whc.unesco.org/document/132728"/>
    <hyperlink ref="D5" r:id="rId4" display="https://whc.unesco.org/en/decisions/6110"/>
    <hyperlink ref="D6" r:id="rId5" display="https://whc.unesco.org/en/decisions/6699"/>
    <hyperlink ref="D7" r:id="rId6" display="https://whc.unesco.org/en/decisions/7087"/>
    <hyperlink ref="D8" r:id="rId7" display="https://whc.unesco.org/en/decisions/7234"/>
    <hyperlink ref="D9" r:id="rId8" display="https://whc.unesco.org/en/decisions/7740"/>
    <hyperlink ref="D10" r:id="rId9" display="https://whc.unesco.org/en/decisions/8160"/>
    <hyperlink ref="D11" r:id="rId10" display="https://whc.unesco.org/en/decisions/8791"/>
    <hyperlink ref="D12" r:id="rId11" display="https://whc.unesco.org/document/142401"/>
    <hyperlink ref="D13" r:id="rId12" display="https://whc.unesco.org/document/158586"/>
    <hyperlink ref="D14" r:id="rId13" display="https://whc.unesco.org/document/217919"/>
    <hyperlink ref="D15" r:id="rId14" display="https://whc.unesco.org/document/218280"/>
    <hyperlink ref="D16" r:id="rId15" display="https://whc.unesco.org/document/180694"/>
    <hyperlink ref="D17" r:id="rId16" display="https://whc.unesco.org/document/166338"/>
    <hyperlink ref="D18" r:id="rId17" display="https://whc.unesco.org/document/156862"/>
    <hyperlink ref="D19" r:id="rId18" display="https://whc.unesco.org/document/165239"/>
    <hyperlink ref="D20" r:id="rId19" display="https://whc.unesco.org/document/139846"/>
    <hyperlink ref="D21" r:id="rId20" display="https://whc.unesco.org/document/139897"/>
    <hyperlink ref="D22" r:id="rId21" display="https://whc.unesco.org/document/13985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2"/>
    <col collapsed="false" customWidth="true" hidden="false" outlineLevel="0" max="3" min="3" style="0" width="16"/>
    <col collapsed="false" customWidth="true" hidden="false" outlineLevel="0" max="4" min="4" style="0" width="50"/>
    <col collapsed="false" customWidth="true" hidden="false" outlineLevel="0" max="5" min="5" style="0" width="70"/>
  </cols>
  <sheetData>
    <row r="1" customFormat="false" ht="31.5" hidden="false" customHeight="true" outlineLevel="0" collapsed="false">
      <c r="A1" s="5" t="s">
        <v>791</v>
      </c>
      <c r="B1" s="5" t="s">
        <v>735</v>
      </c>
      <c r="C1" s="5" t="s">
        <v>792</v>
      </c>
      <c r="D1" s="5" t="s">
        <v>793</v>
      </c>
      <c r="E1" s="5" t="s">
        <v>794</v>
      </c>
    </row>
    <row r="2" customFormat="false" ht="57.45" hidden="false" customHeight="false" outlineLevel="0" collapsed="false">
      <c r="A2" s="4" t="s">
        <v>795</v>
      </c>
      <c r="B2" s="7" t="s">
        <v>796</v>
      </c>
      <c r="C2" s="4" t="s">
        <v>797</v>
      </c>
      <c r="D2" s="4" t="s">
        <v>798</v>
      </c>
      <c r="E2" s="4" t="s">
        <v>799</v>
      </c>
    </row>
    <row r="3" customFormat="false" ht="35.05" hidden="false" customHeight="false" outlineLevel="0" collapsed="false">
      <c r="A3" s="4" t="s">
        <v>800</v>
      </c>
      <c r="B3" s="7" t="s">
        <v>801</v>
      </c>
      <c r="C3" s="4" t="s">
        <v>797</v>
      </c>
      <c r="D3" s="4" t="s">
        <v>802</v>
      </c>
      <c r="E3" s="4" t="s">
        <v>803</v>
      </c>
    </row>
    <row r="4" customFormat="false" ht="23.85" hidden="false" customHeight="false" outlineLevel="0" collapsed="false">
      <c r="A4" s="4" t="s">
        <v>804</v>
      </c>
      <c r="B4" s="7" t="s">
        <v>805</v>
      </c>
      <c r="C4" s="4" t="s">
        <v>797</v>
      </c>
      <c r="D4" s="4" t="s">
        <v>806</v>
      </c>
      <c r="E4" s="4" t="s">
        <v>807</v>
      </c>
    </row>
    <row r="5" customFormat="false" ht="35.05" hidden="false" customHeight="false" outlineLevel="0" collapsed="false">
      <c r="A5" s="4" t="s">
        <v>808</v>
      </c>
      <c r="B5" s="7" t="s">
        <v>498</v>
      </c>
      <c r="C5" s="4" t="s">
        <v>809</v>
      </c>
      <c r="D5" s="4" t="s">
        <v>810</v>
      </c>
      <c r="E5" s="4" t="s">
        <v>811</v>
      </c>
    </row>
    <row r="6" customFormat="false" ht="23.85" hidden="false" customHeight="false" outlineLevel="0" collapsed="false">
      <c r="A6" s="4" t="s">
        <v>812</v>
      </c>
      <c r="B6" s="7" t="s">
        <v>289</v>
      </c>
      <c r="C6" s="4" t="s">
        <v>813</v>
      </c>
      <c r="D6" s="4" t="s">
        <v>814</v>
      </c>
      <c r="E6" s="4" t="s">
        <v>815</v>
      </c>
    </row>
    <row r="7" customFormat="false" ht="23.85" hidden="false" customHeight="false" outlineLevel="0" collapsed="false">
      <c r="A7" s="4" t="s">
        <v>816</v>
      </c>
      <c r="B7" s="7" t="s">
        <v>817</v>
      </c>
      <c r="C7" s="4" t="s">
        <v>809</v>
      </c>
      <c r="D7" s="4" t="s">
        <v>818</v>
      </c>
      <c r="E7" s="4" t="s">
        <v>819</v>
      </c>
    </row>
    <row r="8" customFormat="false" ht="15" hidden="false" customHeight="false" outlineLevel="0" collapsed="false">
      <c r="A8" s="4" t="s">
        <v>820</v>
      </c>
      <c r="B8" s="7" t="s">
        <v>821</v>
      </c>
      <c r="C8" s="4" t="s">
        <v>809</v>
      </c>
      <c r="D8" s="4" t="s">
        <v>822</v>
      </c>
      <c r="E8" s="4" t="s">
        <v>823</v>
      </c>
    </row>
    <row r="9" customFormat="false" ht="23.85" hidden="false" customHeight="false" outlineLevel="0" collapsed="false">
      <c r="A9" s="4" t="s">
        <v>824</v>
      </c>
      <c r="B9" s="7" t="s">
        <v>694</v>
      </c>
      <c r="C9" s="4" t="s">
        <v>809</v>
      </c>
      <c r="D9" s="4" t="s">
        <v>825</v>
      </c>
      <c r="E9" s="4" t="s">
        <v>826</v>
      </c>
    </row>
    <row r="10" customFormat="false" ht="15" hidden="false" customHeight="false" outlineLevel="0" collapsed="false">
      <c r="A10" s="4" t="s">
        <v>702</v>
      </c>
      <c r="B10" s="7" t="s">
        <v>827</v>
      </c>
      <c r="C10" s="4" t="s">
        <v>809</v>
      </c>
      <c r="D10" s="4" t="s">
        <v>828</v>
      </c>
      <c r="E10" s="4" t="s">
        <v>829</v>
      </c>
    </row>
    <row r="11" customFormat="false" ht="15" hidden="false" customHeight="false" outlineLevel="0" collapsed="false">
      <c r="A11" s="4" t="s">
        <v>830</v>
      </c>
      <c r="B11" s="7" t="s">
        <v>831</v>
      </c>
      <c r="C11" s="4" t="s">
        <v>832</v>
      </c>
      <c r="D11" s="4" t="s">
        <v>833</v>
      </c>
      <c r="E11" s="4" t="s">
        <v>834</v>
      </c>
    </row>
  </sheetData>
  <autoFilter ref="A1:E11"/>
  <hyperlinks>
    <hyperlink ref="B2" r:id="rId1" display="https://whc.unesco.org/en/list/xml/"/>
    <hyperlink ref="B3" r:id="rId2" display="https://whc.unesco.org/zh/list/xml/"/>
    <hyperlink ref="B4" r:id="rId3" display="https://whc.unesco.org/en/syndication"/>
    <hyperlink ref="B5" r:id="rId4" display="https://whc.unesco.org/en/list/1223/"/>
    <hyperlink ref="B6" r:id="rId5" display="https://whc.unesco.org/en/list/1442/documents/"/>
    <hyperlink ref="B7" r:id="rId6" display="https://whc.unesco.org/en/statesparties/cn"/>
    <hyperlink ref="B8" r:id="rId7" display="https://whc.unesco.org/en/decisions/"/>
    <hyperlink ref="B9" r:id="rId8" display="https://ich.unesco.org/en/state/china-CN?info=elements-on-the-lists"/>
    <hyperlink ref="B10" r:id="rId9" display="https://www.unesco.org/en/memory-world"/>
    <hyperlink ref="B11" r:id="rId10" display="https://www.wikidata.or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40"/>
    <col collapsed="false" customWidth="true" hidden="false" outlineLevel="0" max="4" min="4" style="0" width="55"/>
    <col collapsed="false" customWidth="true" hidden="false" outlineLevel="0" max="5" min="5" style="0" width="12"/>
    <col collapsed="false" customWidth="true" hidden="false" outlineLevel="0" max="6" min="6" style="0" width="42"/>
    <col collapsed="false" customWidth="true" hidden="false" outlineLevel="0" max="7" min="7" style="0" width="48"/>
    <col collapsed="false" customWidth="true" hidden="false" outlineLevel="0" max="8" min="8" style="0" width="30"/>
    <col collapsed="false" customWidth="true" hidden="false" outlineLevel="0" max="9" min="9" style="0" width="52"/>
    <col collapsed="false" customWidth="true" hidden="false" outlineLevel="0" max="10" min="10" style="0" width="20"/>
    <col collapsed="false" customWidth="true" hidden="false" outlineLevel="0" max="11" min="11" style="0" width="24"/>
  </cols>
  <sheetData>
    <row r="1" customFormat="false" ht="31.5" hidden="false" customHeight="true" outlineLevel="0" collapsed="false">
      <c r="A1" s="5" t="s">
        <v>791</v>
      </c>
      <c r="B1" s="5" t="s">
        <v>835</v>
      </c>
      <c r="C1" s="5" t="s">
        <v>836</v>
      </c>
      <c r="D1" s="5" t="s">
        <v>837</v>
      </c>
      <c r="E1" s="5" t="s">
        <v>838</v>
      </c>
      <c r="F1" s="5" t="s">
        <v>839</v>
      </c>
      <c r="G1" s="5" t="s">
        <v>840</v>
      </c>
      <c r="H1" s="5" t="s">
        <v>841</v>
      </c>
      <c r="I1" s="5" t="s">
        <v>842</v>
      </c>
      <c r="J1" s="5" t="s">
        <v>843</v>
      </c>
      <c r="K1" s="5" t="s">
        <v>59</v>
      </c>
    </row>
    <row r="2" customFormat="false" ht="52.2" hidden="false" customHeight="false" outlineLevel="0" collapsed="false">
      <c r="A2" s="4" t="s">
        <v>844</v>
      </c>
      <c r="B2" s="4" t="s">
        <v>845</v>
      </c>
      <c r="C2" s="7" t="s">
        <v>846</v>
      </c>
      <c r="D2" s="4" t="s">
        <v>847</v>
      </c>
      <c r="E2" s="4" t="s">
        <v>848</v>
      </c>
      <c r="F2" s="4" t="s">
        <v>849</v>
      </c>
      <c r="G2" s="4" t="s">
        <v>850</v>
      </c>
      <c r="H2" s="4" t="s">
        <v>851</v>
      </c>
      <c r="I2" s="4" t="s">
        <v>852</v>
      </c>
      <c r="J2" s="4" t="s">
        <v>853</v>
      </c>
      <c r="K2" s="8"/>
    </row>
    <row r="3" customFormat="false" ht="35.05" hidden="false" customHeight="false" outlineLevel="0" collapsed="false">
      <c r="A3" s="4" t="s">
        <v>854</v>
      </c>
      <c r="B3" s="4" t="s">
        <v>855</v>
      </c>
      <c r="C3" s="7" t="s">
        <v>856</v>
      </c>
      <c r="D3" s="4" t="s">
        <v>857</v>
      </c>
      <c r="E3" s="4" t="s">
        <v>848</v>
      </c>
      <c r="F3" s="4" t="s">
        <v>858</v>
      </c>
      <c r="G3" s="4" t="s">
        <v>859</v>
      </c>
      <c r="H3" s="4" t="s">
        <v>860</v>
      </c>
      <c r="I3" s="4" t="s">
        <v>861</v>
      </c>
      <c r="J3" s="4" t="s">
        <v>862</v>
      </c>
      <c r="K3" s="8"/>
    </row>
    <row r="4" customFormat="false" ht="35.05" hidden="false" customHeight="false" outlineLevel="0" collapsed="false">
      <c r="A4" s="4" t="s">
        <v>863</v>
      </c>
      <c r="B4" s="4" t="s">
        <v>864</v>
      </c>
      <c r="C4" s="7" t="s">
        <v>865</v>
      </c>
      <c r="D4" s="4" t="s">
        <v>866</v>
      </c>
      <c r="E4" s="4" t="s">
        <v>867</v>
      </c>
      <c r="F4" s="4" t="s">
        <v>868</v>
      </c>
      <c r="G4" s="4" t="s">
        <v>869</v>
      </c>
      <c r="H4" s="4" t="s">
        <v>870</v>
      </c>
      <c r="I4" s="4" t="s">
        <v>871</v>
      </c>
      <c r="J4" s="4" t="s">
        <v>872</v>
      </c>
      <c r="K4" s="8"/>
    </row>
    <row r="5" customFormat="false" ht="49.25" hidden="false" customHeight="false" outlineLevel="0" collapsed="false">
      <c r="A5" s="4" t="s">
        <v>873</v>
      </c>
      <c r="B5" s="4" t="s">
        <v>874</v>
      </c>
      <c r="C5" s="7" t="s">
        <v>875</v>
      </c>
      <c r="D5" s="4" t="s">
        <v>876</v>
      </c>
      <c r="E5" s="4" t="s">
        <v>848</v>
      </c>
      <c r="F5" s="4" t="s">
        <v>877</v>
      </c>
      <c r="G5" s="4" t="s">
        <v>878</v>
      </c>
      <c r="H5" s="4" t="s">
        <v>879</v>
      </c>
      <c r="I5" s="4" t="s">
        <v>880</v>
      </c>
      <c r="J5" s="4" t="s">
        <v>881</v>
      </c>
      <c r="K5" s="8"/>
    </row>
    <row r="6" customFormat="false" ht="57.45" hidden="false" customHeight="false" outlineLevel="0" collapsed="false">
      <c r="A6" s="4" t="s">
        <v>882</v>
      </c>
      <c r="B6" s="4" t="s">
        <v>883</v>
      </c>
      <c r="C6" s="7" t="s">
        <v>884</v>
      </c>
      <c r="D6" s="4" t="s">
        <v>885</v>
      </c>
      <c r="E6" s="4" t="s">
        <v>886</v>
      </c>
      <c r="F6" s="4" t="s">
        <v>887</v>
      </c>
      <c r="G6" s="4" t="s">
        <v>888</v>
      </c>
      <c r="H6" s="4" t="s">
        <v>889</v>
      </c>
      <c r="I6" s="4" t="s">
        <v>890</v>
      </c>
      <c r="J6" s="4" t="s">
        <v>891</v>
      </c>
      <c r="K6" s="8"/>
    </row>
    <row r="7" customFormat="false" ht="35.05" hidden="false" customHeight="false" outlineLevel="0" collapsed="false">
      <c r="A7" s="4" t="s">
        <v>892</v>
      </c>
      <c r="B7" s="4" t="s">
        <v>893</v>
      </c>
      <c r="C7" s="7" t="s">
        <v>894</v>
      </c>
      <c r="D7" s="4" t="s">
        <v>895</v>
      </c>
      <c r="E7" s="4" t="s">
        <v>848</v>
      </c>
      <c r="F7" s="4" t="s">
        <v>896</v>
      </c>
      <c r="G7" s="4" t="s">
        <v>897</v>
      </c>
      <c r="H7" s="4" t="s">
        <v>898</v>
      </c>
      <c r="I7" s="4" t="s">
        <v>899</v>
      </c>
      <c r="J7" s="4" t="s">
        <v>900</v>
      </c>
      <c r="K7" s="8"/>
    </row>
    <row r="8" customFormat="false" ht="38.05" hidden="false" customHeight="false" outlineLevel="0" collapsed="false">
      <c r="A8" s="4" t="s">
        <v>901</v>
      </c>
      <c r="B8" s="4" t="s">
        <v>902</v>
      </c>
      <c r="C8" s="7" t="s">
        <v>903</v>
      </c>
      <c r="D8" s="4" t="s">
        <v>904</v>
      </c>
      <c r="E8" s="4" t="s">
        <v>848</v>
      </c>
      <c r="F8" s="4" t="s">
        <v>905</v>
      </c>
      <c r="G8" s="4" t="s">
        <v>906</v>
      </c>
      <c r="H8" s="4" t="s">
        <v>907</v>
      </c>
      <c r="I8" s="4" t="s">
        <v>908</v>
      </c>
      <c r="J8" s="4" t="s">
        <v>909</v>
      </c>
      <c r="K8" s="8"/>
    </row>
    <row r="9" customFormat="false" ht="46.25" hidden="false" customHeight="false" outlineLevel="0" collapsed="false">
      <c r="A9" s="4" t="s">
        <v>910</v>
      </c>
      <c r="B9" s="4" t="s">
        <v>911</v>
      </c>
      <c r="C9" s="7" t="s">
        <v>912</v>
      </c>
      <c r="D9" s="4" t="s">
        <v>913</v>
      </c>
      <c r="E9" s="4" t="s">
        <v>914</v>
      </c>
      <c r="F9" s="4" t="s">
        <v>915</v>
      </c>
      <c r="G9" s="4" t="s">
        <v>916</v>
      </c>
      <c r="H9" s="4" t="s">
        <v>917</v>
      </c>
      <c r="I9" s="4" t="s">
        <v>918</v>
      </c>
      <c r="J9" s="4" t="s">
        <v>919</v>
      </c>
      <c r="K9" s="8"/>
    </row>
    <row r="10" customFormat="false" ht="57.45" hidden="false" customHeight="false" outlineLevel="0" collapsed="false">
      <c r="A10" s="4" t="s">
        <v>920</v>
      </c>
      <c r="B10" s="4" t="s">
        <v>921</v>
      </c>
      <c r="C10" s="7" t="s">
        <v>922</v>
      </c>
      <c r="D10" s="4" t="s">
        <v>923</v>
      </c>
      <c r="E10" s="4" t="s">
        <v>924</v>
      </c>
      <c r="F10" s="4" t="s">
        <v>925</v>
      </c>
      <c r="G10" s="4" t="s">
        <v>926</v>
      </c>
      <c r="H10" s="4" t="s">
        <v>927</v>
      </c>
      <c r="I10" s="4" t="s">
        <v>928</v>
      </c>
      <c r="J10" s="4" t="s">
        <v>929</v>
      </c>
      <c r="K10" s="8"/>
    </row>
    <row r="11" customFormat="false" ht="26.85" hidden="false" customHeight="false" outlineLevel="0" collapsed="false">
      <c r="A11" s="4" t="s">
        <v>930</v>
      </c>
      <c r="B11" s="4" t="s">
        <v>931</v>
      </c>
      <c r="C11" s="7" t="s">
        <v>932</v>
      </c>
      <c r="D11" s="4" t="s">
        <v>933</v>
      </c>
      <c r="E11" s="4" t="s">
        <v>924</v>
      </c>
      <c r="F11" s="4" t="s">
        <v>934</v>
      </c>
      <c r="G11" s="4" t="s">
        <v>935</v>
      </c>
      <c r="H11" s="4" t="s">
        <v>936</v>
      </c>
      <c r="I11" s="4" t="s">
        <v>937</v>
      </c>
      <c r="J11" s="4" t="s">
        <v>938</v>
      </c>
      <c r="K11" s="8"/>
    </row>
    <row r="12" customFormat="false" ht="57.45" hidden="false" customHeight="false" outlineLevel="0" collapsed="false">
      <c r="A12" s="4" t="s">
        <v>939</v>
      </c>
      <c r="B12" s="4" t="s">
        <v>940</v>
      </c>
      <c r="C12" s="7" t="s">
        <v>941</v>
      </c>
      <c r="D12" s="4" t="s">
        <v>942</v>
      </c>
      <c r="E12" s="4" t="s">
        <v>848</v>
      </c>
      <c r="F12" s="4" t="s">
        <v>943</v>
      </c>
      <c r="G12" s="4" t="s">
        <v>944</v>
      </c>
      <c r="H12" s="4" t="s">
        <v>945</v>
      </c>
      <c r="I12" s="4" t="s">
        <v>946</v>
      </c>
      <c r="J12" s="4" t="s">
        <v>947</v>
      </c>
      <c r="K12" s="8"/>
    </row>
    <row r="13" customFormat="false" ht="26.85" hidden="false" customHeight="false" outlineLevel="0" collapsed="false">
      <c r="A13" s="4" t="s">
        <v>948</v>
      </c>
      <c r="B13" s="4" t="s">
        <v>949</v>
      </c>
      <c r="C13" s="7" t="s">
        <v>950</v>
      </c>
      <c r="D13" s="4" t="s">
        <v>951</v>
      </c>
      <c r="E13" s="4" t="s">
        <v>848</v>
      </c>
      <c r="F13" s="4" t="s">
        <v>952</v>
      </c>
      <c r="G13" s="4" t="s">
        <v>953</v>
      </c>
      <c r="H13" s="4" t="s">
        <v>954</v>
      </c>
      <c r="I13" s="4" t="s">
        <v>955</v>
      </c>
      <c r="J13" s="4" t="s">
        <v>956</v>
      </c>
      <c r="K13" s="8"/>
    </row>
  </sheetData>
  <autoFilter ref="A1:K13"/>
  <hyperlinks>
    <hyperlink ref="C2" r:id="rId1" display="http://www.ncha.gov.cn/"/>
    <hyperlink ref="C3" r:id="rId2" display="http://www.ncha.gov.cn/art/2026/7/29/art_2318_48456.html"/>
    <hyperlink ref="C4" r:id="rId3" display="https://www.mct.gov.cn/"/>
    <hyperlink ref="C5" r:id="rId4" display="https://www.ihchina.cn/project.html"/>
    <hyperlink ref="C6" r:id="rId5" display="https://kh.china-embassy.gov.cn/"/>
    <hyperlink ref="C7" r:id="rId6" display="https://www.chinanews.com.cn/gj/2022/08-29/9839659.shtml"/>
    <hyperlink ref="C8" r:id="rId7" display="https://www.cssn.cn/skgz/bwyc/202605/t20260522_5992725.shtml"/>
    <hyperlink ref="C9" r:id="rId8" display="https://www.chinanews.com.cn/sh/2026/09-24/10703295.shtml"/>
    <hyperlink ref="C10" r:id="rId9" display="https://english.www.gov.cn/news/202304/25/content_WS6447673dc6d03ffcca6ec9ee.html"/>
    <hyperlink ref="C11" r:id="rId10" display="https://www.yidaiyilu.gov.cn/"/>
    <hyperlink ref="C12" r:id="rId11" display="https://hqhryj.jnu.edu.cn/5535/list.htm"/>
    <hyperlink ref="C13" r:id="rId12" display="https://www.cnki.ne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34"/>
    <col collapsed="false" customWidth="true" hidden="false" outlineLevel="0" max="3" min="3" style="0" width="18"/>
    <col collapsed="false" customWidth="true" hidden="false" outlineLevel="0" max="4" min="4" style="0" width="30"/>
    <col collapsed="false" customWidth="true" hidden="false" outlineLevel="0" max="6" min="5" style="0" width="60"/>
    <col collapsed="false" customWidth="true" hidden="false" outlineLevel="0" max="7" min="7" style="0" width="26"/>
    <col collapsed="false" customWidth="true" hidden="false" outlineLevel="0" max="8" min="8" style="0" width="44"/>
  </cols>
  <sheetData>
    <row r="1" customFormat="false" ht="31.5" hidden="false" customHeight="true" outlineLevel="0" collapsed="false">
      <c r="A1" s="5" t="s">
        <v>957</v>
      </c>
      <c r="B1" s="5" t="s">
        <v>958</v>
      </c>
      <c r="C1" s="5" t="s">
        <v>959</v>
      </c>
      <c r="D1" s="5" t="s">
        <v>960</v>
      </c>
      <c r="E1" s="5" t="s">
        <v>961</v>
      </c>
      <c r="F1" s="5" t="s">
        <v>962</v>
      </c>
      <c r="G1" s="5" t="s">
        <v>963</v>
      </c>
      <c r="H1" s="5" t="s">
        <v>791</v>
      </c>
    </row>
    <row r="2" customFormat="false" ht="44" hidden="false" customHeight="false" outlineLevel="0" collapsed="false">
      <c r="A2" s="4" t="s">
        <v>964</v>
      </c>
      <c r="B2" s="4" t="s">
        <v>965</v>
      </c>
      <c r="C2" s="4" t="s">
        <v>966</v>
      </c>
      <c r="D2" s="4" t="s">
        <v>967</v>
      </c>
      <c r="E2" s="6" t="s">
        <v>968</v>
      </c>
      <c r="F2" s="4" t="s">
        <v>969</v>
      </c>
      <c r="G2" s="4" t="s">
        <v>970</v>
      </c>
      <c r="H2" s="7" t="s">
        <v>971</v>
      </c>
    </row>
    <row r="3" customFormat="false" ht="29.85" hidden="false" customHeight="false" outlineLevel="0" collapsed="false">
      <c r="A3" s="4" t="s">
        <v>964</v>
      </c>
      <c r="B3" s="4" t="s">
        <v>965</v>
      </c>
      <c r="C3" s="4" t="s">
        <v>966</v>
      </c>
      <c r="D3" s="4" t="s">
        <v>972</v>
      </c>
      <c r="E3" s="6" t="s">
        <v>973</v>
      </c>
      <c r="F3" s="4" t="s">
        <v>974</v>
      </c>
      <c r="G3" s="4" t="s">
        <v>975</v>
      </c>
      <c r="H3" s="7" t="s">
        <v>971</v>
      </c>
    </row>
    <row r="4" customFormat="false" ht="35.05" hidden="false" customHeight="false" outlineLevel="0" collapsed="false">
      <c r="A4" s="4" t="s">
        <v>976</v>
      </c>
      <c r="B4" s="4" t="s">
        <v>977</v>
      </c>
      <c r="C4" s="4" t="s">
        <v>966</v>
      </c>
      <c r="D4" s="4" t="s">
        <v>978</v>
      </c>
      <c r="E4" s="6" t="s">
        <v>979</v>
      </c>
      <c r="F4" s="4" t="s">
        <v>980</v>
      </c>
      <c r="G4" s="4" t="s">
        <v>981</v>
      </c>
      <c r="H4" s="7" t="s">
        <v>982</v>
      </c>
    </row>
    <row r="5" customFormat="false" ht="23.85" hidden="false" customHeight="false" outlineLevel="0" collapsed="false">
      <c r="A5" s="4" t="s">
        <v>983</v>
      </c>
      <c r="B5" s="4" t="s">
        <v>984</v>
      </c>
      <c r="C5" s="4" t="s">
        <v>966</v>
      </c>
      <c r="D5" s="4" t="s">
        <v>985</v>
      </c>
      <c r="E5" s="6" t="s">
        <v>986</v>
      </c>
      <c r="F5" s="4" t="s">
        <v>987</v>
      </c>
      <c r="G5" s="4" t="s">
        <v>988</v>
      </c>
      <c r="H5" s="7" t="s">
        <v>989</v>
      </c>
    </row>
    <row r="6" customFormat="false" ht="35.05" hidden="false" customHeight="false" outlineLevel="0" collapsed="false">
      <c r="A6" s="4" t="s">
        <v>990</v>
      </c>
      <c r="B6" s="4" t="s">
        <v>991</v>
      </c>
      <c r="C6" s="4" t="s">
        <v>966</v>
      </c>
      <c r="D6" s="4" t="s">
        <v>992</v>
      </c>
      <c r="E6" s="6" t="s">
        <v>993</v>
      </c>
      <c r="F6" s="4" t="s">
        <v>994</v>
      </c>
      <c r="G6" s="4" t="s">
        <v>995</v>
      </c>
      <c r="H6" s="7" t="s">
        <v>996</v>
      </c>
    </row>
    <row r="7" customFormat="false" ht="35.05" hidden="false" customHeight="false" outlineLevel="0" collapsed="false">
      <c r="A7" s="4" t="s">
        <v>997</v>
      </c>
      <c r="B7" s="4" t="s">
        <v>998</v>
      </c>
      <c r="C7" s="4" t="s">
        <v>966</v>
      </c>
      <c r="D7" s="4" t="s">
        <v>999</v>
      </c>
      <c r="E7" s="6" t="s">
        <v>1000</v>
      </c>
      <c r="F7" s="4" t="s">
        <v>1001</v>
      </c>
      <c r="G7" s="4" t="s">
        <v>1002</v>
      </c>
      <c r="H7" s="7" t="s">
        <v>856</v>
      </c>
    </row>
    <row r="8" customFormat="false" ht="29.85" hidden="false" customHeight="false" outlineLevel="0" collapsed="false">
      <c r="A8" s="4" t="s">
        <v>997</v>
      </c>
      <c r="B8" s="4" t="s">
        <v>998</v>
      </c>
      <c r="C8" s="4" t="s">
        <v>966</v>
      </c>
      <c r="D8" s="4" t="s">
        <v>1003</v>
      </c>
      <c r="E8" s="6" t="s">
        <v>1004</v>
      </c>
      <c r="F8" s="4" t="s">
        <v>1005</v>
      </c>
      <c r="G8" s="4" t="s">
        <v>1006</v>
      </c>
      <c r="H8" s="7" t="s">
        <v>856</v>
      </c>
    </row>
    <row r="9" customFormat="false" ht="35.05" hidden="false" customHeight="false" outlineLevel="0" collapsed="false">
      <c r="A9" s="4" t="s">
        <v>997</v>
      </c>
      <c r="B9" s="4" t="s">
        <v>998</v>
      </c>
      <c r="C9" s="4" t="s">
        <v>966</v>
      </c>
      <c r="D9" s="4" t="s">
        <v>978</v>
      </c>
      <c r="E9" s="6" t="s">
        <v>1007</v>
      </c>
      <c r="F9" s="4" t="s">
        <v>1008</v>
      </c>
      <c r="G9" s="4" t="s">
        <v>1009</v>
      </c>
      <c r="H9" s="7" t="s">
        <v>856</v>
      </c>
    </row>
    <row r="10" customFormat="false" ht="35.05" hidden="false" customHeight="false" outlineLevel="0" collapsed="false">
      <c r="A10" s="4" t="s">
        <v>997</v>
      </c>
      <c r="B10" s="4" t="s">
        <v>998</v>
      </c>
      <c r="C10" s="4" t="s">
        <v>966</v>
      </c>
      <c r="D10" s="4" t="s">
        <v>1010</v>
      </c>
      <c r="E10" s="6" t="s">
        <v>1011</v>
      </c>
      <c r="F10" s="4" t="s">
        <v>1012</v>
      </c>
      <c r="G10" s="4" t="s">
        <v>1013</v>
      </c>
      <c r="H10" s="7" t="s">
        <v>856</v>
      </c>
    </row>
    <row r="11" customFormat="false" ht="29.85" hidden="false" customHeight="false" outlineLevel="0" collapsed="false">
      <c r="A11" s="4" t="s">
        <v>997</v>
      </c>
      <c r="B11" s="4" t="s">
        <v>998</v>
      </c>
      <c r="C11" s="4" t="s">
        <v>966</v>
      </c>
      <c r="D11" s="4" t="s">
        <v>1014</v>
      </c>
      <c r="E11" s="6" t="s">
        <v>1015</v>
      </c>
      <c r="F11" s="4" t="s">
        <v>1016</v>
      </c>
      <c r="G11" s="4" t="s">
        <v>1017</v>
      </c>
      <c r="H11" s="7" t="s">
        <v>856</v>
      </c>
    </row>
    <row r="12" customFormat="false" ht="29.85" hidden="false" customHeight="false" outlineLevel="0" collapsed="false">
      <c r="A12" s="4" t="s">
        <v>1018</v>
      </c>
      <c r="B12" s="4" t="s">
        <v>1019</v>
      </c>
      <c r="C12" s="4" t="s">
        <v>966</v>
      </c>
      <c r="D12" s="4" t="s">
        <v>1020</v>
      </c>
      <c r="E12" s="6" t="s">
        <v>1021</v>
      </c>
      <c r="F12" s="4" t="s">
        <v>1022</v>
      </c>
      <c r="G12" s="4" t="s">
        <v>1023</v>
      </c>
      <c r="H12" s="7" t="s">
        <v>912</v>
      </c>
    </row>
    <row r="13" customFormat="false" ht="35.05" hidden="false" customHeight="false" outlineLevel="0" collapsed="false">
      <c r="A13" s="4" t="s">
        <v>1024</v>
      </c>
      <c r="B13" s="4" t="s">
        <v>1025</v>
      </c>
      <c r="C13" s="4" t="s">
        <v>1026</v>
      </c>
      <c r="D13" s="4" t="s">
        <v>1027</v>
      </c>
      <c r="E13" s="6" t="s">
        <v>1028</v>
      </c>
      <c r="F13" s="4" t="s">
        <v>1029</v>
      </c>
      <c r="G13" s="4" t="s">
        <v>1030</v>
      </c>
      <c r="H13" s="7" t="s">
        <v>903</v>
      </c>
    </row>
    <row r="14" customFormat="false" ht="29.85" hidden="false" customHeight="false" outlineLevel="0" collapsed="false">
      <c r="A14" s="4" t="s">
        <v>1031</v>
      </c>
      <c r="B14" s="4" t="s">
        <v>1032</v>
      </c>
      <c r="C14" s="4" t="s">
        <v>1033</v>
      </c>
      <c r="D14" s="4" t="s">
        <v>1034</v>
      </c>
      <c r="E14" s="6" t="s">
        <v>1035</v>
      </c>
      <c r="F14" s="4" t="s">
        <v>1036</v>
      </c>
      <c r="G14" s="4" t="s">
        <v>1037</v>
      </c>
      <c r="H14" s="7" t="s">
        <v>1038</v>
      </c>
    </row>
    <row r="15" customFormat="false" ht="35.05" hidden="false" customHeight="false" outlineLevel="0" collapsed="false">
      <c r="A15" s="4" t="s">
        <v>1039</v>
      </c>
      <c r="B15" s="4" t="s">
        <v>1040</v>
      </c>
      <c r="C15" s="4" t="s">
        <v>1033</v>
      </c>
      <c r="D15" s="4" t="s">
        <v>1041</v>
      </c>
      <c r="E15" s="6" t="s">
        <v>1042</v>
      </c>
      <c r="F15" s="4" t="s">
        <v>1043</v>
      </c>
      <c r="G15" s="4" t="s">
        <v>1044</v>
      </c>
      <c r="H15" s="7" t="s">
        <v>1045</v>
      </c>
    </row>
    <row r="16" customFormat="false" ht="35.05" hidden="false" customHeight="false" outlineLevel="0" collapsed="false">
      <c r="A16" s="4" t="s">
        <v>1039</v>
      </c>
      <c r="B16" s="4" t="s">
        <v>1040</v>
      </c>
      <c r="C16" s="4" t="s">
        <v>1033</v>
      </c>
      <c r="D16" s="4" t="s">
        <v>1046</v>
      </c>
      <c r="E16" s="6" t="s">
        <v>1047</v>
      </c>
      <c r="F16" s="4" t="s">
        <v>1048</v>
      </c>
      <c r="G16" s="4" t="s">
        <v>1049</v>
      </c>
      <c r="H16" s="7" t="s">
        <v>1045</v>
      </c>
    </row>
    <row r="17" customFormat="false" ht="35.05" hidden="false" customHeight="false" outlineLevel="0" collapsed="false">
      <c r="A17" s="4" t="s">
        <v>1050</v>
      </c>
      <c r="B17" s="4" t="s">
        <v>1051</v>
      </c>
      <c r="C17" s="4" t="s">
        <v>1033</v>
      </c>
      <c r="D17" s="4" t="s">
        <v>1052</v>
      </c>
      <c r="E17" s="6" t="s">
        <v>1053</v>
      </c>
      <c r="F17" s="4" t="s">
        <v>1054</v>
      </c>
      <c r="G17" s="4" t="s">
        <v>1055</v>
      </c>
      <c r="H17" s="7" t="s">
        <v>1056</v>
      </c>
    </row>
    <row r="18" customFormat="false" ht="44" hidden="false" customHeight="false" outlineLevel="0" collapsed="false">
      <c r="A18" s="4" t="s">
        <v>1057</v>
      </c>
      <c r="B18" s="4" t="s">
        <v>1058</v>
      </c>
      <c r="C18" s="4" t="s">
        <v>1059</v>
      </c>
      <c r="D18" s="4" t="s">
        <v>1060</v>
      </c>
      <c r="E18" s="6" t="s">
        <v>1061</v>
      </c>
      <c r="F18" s="4" t="s">
        <v>1062</v>
      </c>
      <c r="G18" s="4" t="s">
        <v>1063</v>
      </c>
      <c r="H18" s="7" t="s">
        <v>875</v>
      </c>
    </row>
    <row r="19" customFormat="false" ht="35.05" hidden="false" customHeight="false" outlineLevel="0" collapsed="false">
      <c r="A19" s="4" t="s">
        <v>1057</v>
      </c>
      <c r="B19" s="4" t="s">
        <v>1064</v>
      </c>
      <c r="C19" s="4" t="s">
        <v>1059</v>
      </c>
      <c r="D19" s="4" t="s">
        <v>1065</v>
      </c>
      <c r="E19" s="6" t="s">
        <v>1066</v>
      </c>
      <c r="F19" s="4" t="s">
        <v>1067</v>
      </c>
      <c r="G19" s="4" t="s">
        <v>706</v>
      </c>
      <c r="H19" s="7" t="s">
        <v>875</v>
      </c>
    </row>
    <row r="20" customFormat="false" ht="29.85" hidden="false" customHeight="false" outlineLevel="0" collapsed="false">
      <c r="A20" s="4" t="s">
        <v>1068</v>
      </c>
      <c r="B20" s="4" t="s">
        <v>1069</v>
      </c>
      <c r="C20" s="4" t="s">
        <v>1059</v>
      </c>
      <c r="D20" s="4" t="s">
        <v>1070</v>
      </c>
      <c r="E20" s="6" t="s">
        <v>1071</v>
      </c>
      <c r="F20" s="4" t="s">
        <v>1072</v>
      </c>
      <c r="G20" s="4" t="s">
        <v>1073</v>
      </c>
      <c r="H20" s="7" t="s">
        <v>875</v>
      </c>
    </row>
    <row r="21" customFormat="false" ht="35.05" hidden="false" customHeight="false" outlineLevel="0" collapsed="false">
      <c r="A21" s="4" t="s">
        <v>1068</v>
      </c>
      <c r="B21" s="4" t="s">
        <v>1074</v>
      </c>
      <c r="C21" s="4" t="s">
        <v>1059</v>
      </c>
      <c r="D21" s="4" t="s">
        <v>1075</v>
      </c>
      <c r="E21" s="6" t="s">
        <v>1076</v>
      </c>
      <c r="F21" s="4" t="s">
        <v>1077</v>
      </c>
      <c r="G21" s="4" t="s">
        <v>1078</v>
      </c>
      <c r="H21" s="7" t="s">
        <v>875</v>
      </c>
    </row>
  </sheetData>
  <autoFilter ref="A1:H21"/>
  <hyperlinks>
    <hyperlink ref="H2" r:id="rId1" display="http://www.ncha.gov.cn/art/2017/2/27/art_2237_43663.html"/>
    <hyperlink ref="H3" r:id="rId2" display="http://www.ncha.gov.cn/art/2017/2/27/art_2237_43663.html"/>
    <hyperlink ref="H4" r:id="rId3" display="https://www.ndrc.gov.cn/fggz/fzzlgh/gjjzxgh/202112/t20211201_1306596.html"/>
    <hyperlink ref="H5" r:id="rId4" display="http://www.ncha.gov.cn/art/2021/10/25/art_722_171543.html"/>
    <hyperlink ref="H6" r:id="rId5" display="http://www.ncha.gov.cn/art/2022/2/18/art_722_173029.html"/>
    <hyperlink ref="H7" r:id="rId6" display="http://www.ncha.gov.cn/art/2026/7/29/art_2318_48456.html"/>
    <hyperlink ref="H8" r:id="rId7" display="http://www.ncha.gov.cn/art/2026/7/29/art_2318_48456.html"/>
    <hyperlink ref="H9" r:id="rId8" display="http://www.ncha.gov.cn/art/2026/7/29/art_2318_48456.html"/>
    <hyperlink ref="H10" r:id="rId9" display="http://www.ncha.gov.cn/art/2026/7/29/art_2318_48456.html"/>
    <hyperlink ref="H11" r:id="rId10" display="http://www.ncha.gov.cn/art/2026/7/29/art_2318_48456.html"/>
    <hyperlink ref="H12" r:id="rId11" display="https://www.chinanews.com.cn/sh/2026/09-24/10703295.shtml"/>
    <hyperlink ref="H13" r:id="rId12" display="https://www.cssn.cn/skgz/bwyc/202605/t20260522_5992725.shtml"/>
    <hyperlink ref="H14" r:id="rId13" display="https://kh.china-embassy.gov.cn/dssghd/202609/t20260908_12018158.htm"/>
    <hyperlink ref="H15" r:id="rId14" display="https://my.china-embassy.gov.cn/sgxx/dsjh/201611/t20161105_1790289.htm"/>
    <hyperlink ref="H16" r:id="rId15" display="https://my.china-embassy.gov.cn/sgxx/dsjh/201611/t20161105_1790289.htm"/>
    <hyperlink ref="H17" r:id="rId16" display="https://ke.china-embassy.gov.cn/sgxx/dszs_145423/202402/t20240223_11249135.htm"/>
    <hyperlink ref="H18" r:id="rId17" display="https://www.ihchina.cn/project.html"/>
    <hyperlink ref="H19" r:id="rId18" display="https://www.ihchina.cn/project.html"/>
    <hyperlink ref="H20" r:id="rId19" display="https://www.ihchina.cn/project.html"/>
    <hyperlink ref="H21" r:id="rId20" display="https://www.ihchina.cn/project.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18"/>
    <col collapsed="false" customWidth="true" hidden="false" outlineLevel="0" max="4" min="4" style="0" width="22"/>
    <col collapsed="false" customWidth="true" hidden="false" outlineLevel="0" max="5" min="5" style="0" width="34"/>
    <col collapsed="false" customWidth="true" hidden="false" outlineLevel="0" max="7" min="6" style="0" width="44"/>
    <col collapsed="false" customWidth="true" hidden="false" outlineLevel="0" max="8" min="8" style="0" width="16"/>
  </cols>
  <sheetData>
    <row r="1" customFormat="false" ht="31.5" hidden="false" customHeight="true" outlineLevel="0" collapsed="false">
      <c r="A1" s="5" t="s">
        <v>1079</v>
      </c>
      <c r="B1" s="5" t="s">
        <v>1080</v>
      </c>
      <c r="C1" s="5" t="s">
        <v>733</v>
      </c>
      <c r="D1" s="5" t="s">
        <v>1081</v>
      </c>
      <c r="E1" s="5" t="s">
        <v>1082</v>
      </c>
      <c r="F1" s="5" t="s">
        <v>364</v>
      </c>
      <c r="G1" s="5" t="s">
        <v>791</v>
      </c>
      <c r="H1" s="5" t="s">
        <v>60</v>
      </c>
    </row>
    <row r="2" customFormat="false" ht="23.85" hidden="false" customHeight="false" outlineLevel="0" collapsed="false">
      <c r="A2" s="4" t="s">
        <v>603</v>
      </c>
      <c r="B2" s="4" t="s">
        <v>1083</v>
      </c>
      <c r="C2" s="4" t="s">
        <v>1009</v>
      </c>
      <c r="D2" s="4" t="s">
        <v>1084</v>
      </c>
      <c r="E2" s="4" t="s">
        <v>1085</v>
      </c>
      <c r="F2" s="4" t="s">
        <v>1086</v>
      </c>
      <c r="G2" s="7" t="s">
        <v>996</v>
      </c>
      <c r="H2" s="8"/>
    </row>
    <row r="3" customFormat="false" ht="23.85" hidden="false" customHeight="false" outlineLevel="0" collapsed="false">
      <c r="A3" s="4" t="s">
        <v>1087</v>
      </c>
      <c r="B3" s="4" t="s">
        <v>1088</v>
      </c>
      <c r="C3" s="4" t="s">
        <v>1009</v>
      </c>
      <c r="D3" s="4" t="s">
        <v>1089</v>
      </c>
      <c r="E3" s="4" t="s">
        <v>1090</v>
      </c>
      <c r="F3" s="4" t="s">
        <v>1091</v>
      </c>
      <c r="G3" s="7" t="s">
        <v>996</v>
      </c>
      <c r="H3" s="8"/>
    </row>
    <row r="4" customFormat="false" ht="15" hidden="false" customHeight="false" outlineLevel="0" collapsed="false">
      <c r="A4" s="4" t="s">
        <v>1087</v>
      </c>
      <c r="B4" s="4" t="s">
        <v>1092</v>
      </c>
      <c r="C4" s="4" t="s">
        <v>1009</v>
      </c>
      <c r="D4" s="4" t="s">
        <v>1093</v>
      </c>
      <c r="E4" s="4" t="s">
        <v>1090</v>
      </c>
      <c r="F4" s="6"/>
      <c r="G4" s="7" t="s">
        <v>996</v>
      </c>
      <c r="H4" s="8"/>
    </row>
    <row r="5" customFormat="false" ht="15" hidden="false" customHeight="false" outlineLevel="0" collapsed="false">
      <c r="A5" s="4" t="s">
        <v>1087</v>
      </c>
      <c r="B5" s="4" t="s">
        <v>1094</v>
      </c>
      <c r="C5" s="4" t="s">
        <v>1009</v>
      </c>
      <c r="D5" s="4" t="s">
        <v>1095</v>
      </c>
      <c r="E5" s="4" t="s">
        <v>1090</v>
      </c>
      <c r="F5" s="4" t="s">
        <v>1096</v>
      </c>
      <c r="G5" s="7" t="s">
        <v>996</v>
      </c>
      <c r="H5" s="8"/>
    </row>
    <row r="6" customFormat="false" ht="15" hidden="false" customHeight="false" outlineLevel="0" collapsed="false">
      <c r="A6" s="4" t="s">
        <v>1097</v>
      </c>
      <c r="B6" s="4" t="s">
        <v>1098</v>
      </c>
      <c r="C6" s="4" t="s">
        <v>1009</v>
      </c>
      <c r="D6" s="4" t="s">
        <v>1099</v>
      </c>
      <c r="E6" s="4" t="s">
        <v>1100</v>
      </c>
      <c r="F6" s="4" t="s">
        <v>1101</v>
      </c>
      <c r="G6" s="7" t="s">
        <v>982</v>
      </c>
      <c r="H6" s="8"/>
    </row>
    <row r="7" customFormat="false" ht="15" hidden="false" customHeight="false" outlineLevel="0" collapsed="false">
      <c r="A7" s="4" t="s">
        <v>1097</v>
      </c>
      <c r="B7" s="4" t="s">
        <v>1102</v>
      </c>
      <c r="C7" s="4" t="s">
        <v>1009</v>
      </c>
      <c r="D7" s="4" t="s">
        <v>1103</v>
      </c>
      <c r="E7" s="4" t="s">
        <v>1100</v>
      </c>
      <c r="F7" s="6"/>
      <c r="G7" s="7" t="s">
        <v>856</v>
      </c>
      <c r="H7" s="8"/>
    </row>
    <row r="8" customFormat="false" ht="23.85" hidden="false" customHeight="false" outlineLevel="0" collapsed="false">
      <c r="A8" s="4" t="s">
        <v>1104</v>
      </c>
      <c r="B8" s="4" t="s">
        <v>1105</v>
      </c>
      <c r="C8" s="4" t="s">
        <v>1009</v>
      </c>
      <c r="D8" s="4" t="s">
        <v>1106</v>
      </c>
      <c r="E8" s="4" t="s">
        <v>1100</v>
      </c>
      <c r="F8" s="4" t="s">
        <v>1107</v>
      </c>
      <c r="G8" s="7" t="s">
        <v>856</v>
      </c>
      <c r="H8" s="8"/>
    </row>
    <row r="9" customFormat="false" ht="23.85" hidden="false" customHeight="false" outlineLevel="0" collapsed="false">
      <c r="A9" s="4" t="s">
        <v>1108</v>
      </c>
      <c r="B9" s="4" t="s">
        <v>1109</v>
      </c>
      <c r="C9" s="4" t="s">
        <v>1110</v>
      </c>
      <c r="D9" s="4" t="s">
        <v>1111</v>
      </c>
      <c r="E9" s="4" t="s">
        <v>1112</v>
      </c>
      <c r="F9" s="4" t="s">
        <v>1113</v>
      </c>
      <c r="G9" s="7" t="s">
        <v>903</v>
      </c>
      <c r="H9" s="8"/>
    </row>
    <row r="10" customFormat="false" ht="15" hidden="false" customHeight="false" outlineLevel="0" collapsed="false">
      <c r="A10" s="4" t="s">
        <v>1114</v>
      </c>
      <c r="B10" s="4" t="s">
        <v>1115</v>
      </c>
      <c r="C10" s="4" t="s">
        <v>1110</v>
      </c>
      <c r="D10" s="4" t="s">
        <v>1116</v>
      </c>
      <c r="E10" s="4" t="s">
        <v>1112</v>
      </c>
      <c r="F10" s="4" t="s">
        <v>1117</v>
      </c>
      <c r="G10" s="7" t="s">
        <v>903</v>
      </c>
      <c r="H10" s="8"/>
    </row>
    <row r="11" customFormat="false" ht="15" hidden="false" customHeight="false" outlineLevel="0" collapsed="false">
      <c r="A11" s="4" t="s">
        <v>1118</v>
      </c>
      <c r="B11" s="4" t="s">
        <v>1119</v>
      </c>
      <c r="C11" s="4" t="s">
        <v>1110</v>
      </c>
      <c r="D11" s="4" t="s">
        <v>1120</v>
      </c>
      <c r="E11" s="4" t="s">
        <v>1112</v>
      </c>
      <c r="F11" s="4" t="s">
        <v>1121</v>
      </c>
      <c r="G11" s="7" t="s">
        <v>912</v>
      </c>
      <c r="H11" s="8"/>
    </row>
    <row r="12" customFormat="false" ht="15" hidden="false" customHeight="false" outlineLevel="0" collapsed="false">
      <c r="A12" s="4" t="s">
        <v>1122</v>
      </c>
      <c r="B12" s="4" t="s">
        <v>1123</v>
      </c>
      <c r="C12" s="4" t="s">
        <v>1110</v>
      </c>
      <c r="D12" s="4" t="s">
        <v>1124</v>
      </c>
      <c r="E12" s="4" t="s">
        <v>1112</v>
      </c>
      <c r="F12" s="6"/>
      <c r="G12" s="7" t="s">
        <v>903</v>
      </c>
      <c r="H12" s="8"/>
    </row>
    <row r="13" customFormat="false" ht="15" hidden="false" customHeight="false" outlineLevel="0" collapsed="false">
      <c r="A13" s="4" t="s">
        <v>1125</v>
      </c>
      <c r="B13" s="4" t="s">
        <v>1126</v>
      </c>
      <c r="C13" s="4" t="s">
        <v>1110</v>
      </c>
      <c r="D13" s="4" t="s">
        <v>1127</v>
      </c>
      <c r="E13" s="4" t="s">
        <v>1112</v>
      </c>
      <c r="F13" s="6"/>
      <c r="G13" s="7" t="s">
        <v>903</v>
      </c>
      <c r="H13" s="8"/>
    </row>
    <row r="14" customFormat="false" ht="15" hidden="false" customHeight="false" outlineLevel="0" collapsed="false">
      <c r="A14" s="4" t="s">
        <v>1128</v>
      </c>
      <c r="B14" s="4" t="s">
        <v>1129</v>
      </c>
      <c r="C14" s="4" t="s">
        <v>1110</v>
      </c>
      <c r="D14" s="4" t="s">
        <v>1130</v>
      </c>
      <c r="E14" s="4" t="s">
        <v>1131</v>
      </c>
      <c r="F14" s="4" t="s">
        <v>1132</v>
      </c>
      <c r="G14" s="7" t="s">
        <v>912</v>
      </c>
      <c r="H14" s="8"/>
    </row>
    <row r="15" customFormat="false" ht="23.85" hidden="false" customHeight="false" outlineLevel="0" collapsed="false">
      <c r="A15" s="4" t="s">
        <v>623</v>
      </c>
      <c r="B15" s="4" t="s">
        <v>1133</v>
      </c>
      <c r="C15" s="4" t="s">
        <v>1110</v>
      </c>
      <c r="D15" s="4" t="s">
        <v>1130</v>
      </c>
      <c r="E15" s="4" t="s">
        <v>1134</v>
      </c>
      <c r="F15" s="4" t="s">
        <v>1135</v>
      </c>
      <c r="G15" s="7" t="s">
        <v>912</v>
      </c>
      <c r="H15" s="8"/>
    </row>
    <row r="16" customFormat="false" ht="23.85" hidden="false" customHeight="false" outlineLevel="0" collapsed="false">
      <c r="A16" s="4" t="s">
        <v>1136</v>
      </c>
      <c r="B16" s="4" t="s">
        <v>1137</v>
      </c>
      <c r="C16" s="4" t="s">
        <v>1110</v>
      </c>
      <c r="D16" s="4" t="s">
        <v>1138</v>
      </c>
      <c r="E16" s="4" t="s">
        <v>1139</v>
      </c>
      <c r="F16" s="4" t="s">
        <v>1140</v>
      </c>
      <c r="G16" s="7" t="s">
        <v>1056</v>
      </c>
      <c r="H16" s="8"/>
    </row>
  </sheetData>
  <autoFilter ref="A1:H16"/>
  <hyperlinks>
    <hyperlink ref="G2" r:id="rId1" display="http://www.ncha.gov.cn/art/2022/2/18/art_722_173029.html"/>
    <hyperlink ref="G3" r:id="rId2" display="http://www.ncha.gov.cn/art/2022/2/18/art_722_173029.html"/>
    <hyperlink ref="G4" r:id="rId3" display="http://www.ncha.gov.cn/art/2022/2/18/art_722_173029.html"/>
    <hyperlink ref="G5" r:id="rId4" display="http://www.ncha.gov.cn/art/2022/2/18/art_722_173029.html"/>
    <hyperlink ref="G6" r:id="rId5" display="https://www.ndrc.gov.cn/fggz/fzzlgh/gjjzxgh/202112/t20211201_1306596.html"/>
    <hyperlink ref="G7" r:id="rId6" display="http://www.ncha.gov.cn/art/2026/7/29/art_2318_48456.html"/>
    <hyperlink ref="G8" r:id="rId7" display="http://www.ncha.gov.cn/art/2026/7/29/art_2318_48456.html"/>
    <hyperlink ref="G9" r:id="rId8" display="https://www.cssn.cn/skgz/bwyc/202605/t20260522_5992725.shtml"/>
    <hyperlink ref="G10" r:id="rId9" display="https://www.cssn.cn/skgz/bwyc/202605/t20260522_5992725.shtml"/>
    <hyperlink ref="G11" r:id="rId10" display="https://www.chinanews.com.cn/sh/2026/09-24/10703295.shtml"/>
    <hyperlink ref="G12" r:id="rId11" display="https://www.cssn.cn/skgz/bwyc/202605/t20260522_5992725.shtml"/>
    <hyperlink ref="G13" r:id="rId12" display="https://www.cssn.cn/skgz/bwyc/202605/t20260522_5992725.shtml"/>
    <hyperlink ref="G14" r:id="rId13" display="https://www.chinanews.com.cn/sh/2026/09-24/10703295.shtml"/>
    <hyperlink ref="G15" r:id="rId14" display="https://www.chinanews.com.cn/sh/2026/09-24/10703295.shtml"/>
    <hyperlink ref="G16" r:id="rId15" display="https://ke.china-embassy.gov.cn/sgxx/dszs_145423/202402/t20240223_11249135.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2026-09-30T21:04:37Z</dcterms:created>
  <dc:creator>openpyxl</dc:creator>
  <dc:description/>
  <dc:language>en-US</dc:language>
  <cp:lastModifiedBy/>
  <dcterms:modified xsi:type="dcterms:W3CDTF">2026-09-30T21:04:37Z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
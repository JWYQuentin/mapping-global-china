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ina WH List" sheetId="2" state="visible" r:id="rId4"/>
    <sheet name="China Tentative List" sheetId="3" state="visible" r:id="rId5"/>
    <sheet name="Sites Abroad Linked to China" sheetId="4" state="visible" r:id="rId6"/>
    <sheet name="Other UNESCO Records" sheetId="5" state="visible" r:id="rId7"/>
    <sheet name="Docs - Silk Roads 1442" sheetId="6" state="visible" r:id="rId8"/>
    <sheet name="Data Access" sheetId="7" state="visible" r:id="rId9"/>
    <sheet name="1b Chinese Sources" sheetId="8" state="visible" r:id="rId10"/>
    <sheet name="1b Framing Examples" sheetId="9" state="visible" r:id="rId11"/>
    <sheet name="1b Chinese Projects Abroad" sheetId="10" state="visible" r:id="rId12"/>
    <sheet name="1c Host &amp; Diaspora Sources" sheetId="11" state="visible" r:id="rId13"/>
    <sheet name="1c Framing Examples" sheetId="12" state="visible" r:id="rId14"/>
    <sheet name="1d Agreements (MFA DB)" sheetId="13" state="visible" r:id="rId15"/>
    <sheet name="1d Non-site Data Sources" sheetId="14" state="visible" r:id="rId16"/>
    <sheet name="1d Programmes &amp; Outcomes" sheetId="15" state="visible" r:id="rId17"/>
  </sheets>
  <definedNames>
    <definedName function="false" hidden="true" localSheetId="9" name="_xlnm._FilterDatabase" vbProcedure="false">'1b Chinese Projects Abroad'!$A$1:$H$16</definedName>
    <definedName function="false" hidden="true" localSheetId="7" name="_xlnm._FilterDatabase" vbProcedure="false">'1b Chinese Sources'!$A$1:$K$13</definedName>
    <definedName function="false" hidden="true" localSheetId="8" name="_xlnm._FilterDatabase" vbProcedure="false">'1b Framing Examples'!$A$1:$H$21</definedName>
    <definedName function="false" hidden="true" localSheetId="11" name="_xlnm._FilterDatabase" vbProcedure="false">'1c Framing Examples'!$A$1:$I$8</definedName>
    <definedName function="false" hidden="true" localSheetId="10" name="_xlnm._FilterDatabase" vbProcedure="false">'1c Host &amp; Diaspora Sources'!$A$1:$L$20</definedName>
    <definedName function="false" hidden="true" localSheetId="12" name="_xlnm._FilterDatabase" vbProcedure="false">'1d Agreements (MFA DB)'!$A$1:$J$32</definedName>
    <definedName function="false" hidden="true" localSheetId="13" name="_xlnm._FilterDatabase" vbProcedure="false">'1d Non-site Data Sources'!$A$1:$L$14</definedName>
    <definedName function="false" hidden="true" localSheetId="14" name="_xlnm._FilterDatabase" vbProcedure="false">'1d Programmes &amp; Outcomes'!$A$1:$G$12</definedName>
    <definedName function="false" hidden="true" localSheetId="2" name="_xlnm._FilterDatabase" vbProcedure="false">'China Tentative List'!$A$1:$H$61</definedName>
    <definedName function="false" hidden="true" localSheetId="1" name="_xlnm._FilterDatabase" vbProcedure="false">'China WH List'!$A$1:$R$62</definedName>
    <definedName function="false" hidden="true" localSheetId="6" name="_xlnm._FilterDatabase" vbProcedure="false">'Data Access'!$A$1:$E$11</definedName>
    <definedName function="false" hidden="true" localSheetId="5" name="_xlnm._FilterDatabase" vbProcedure="false">'Docs - Silk Roads 1442'!$A$1:$D$22</definedName>
    <definedName function="false" hidden="true" localSheetId="4" name="_xlnm._FilterDatabase" vbProcedure="false">'Other UNESCO Records'!$A$1:$H$11</definedName>
    <definedName function="false" hidden="true" localSheetId="3" name="_xlnm._FilterDatabase" vbProcedure="false">'Sites Abroad Linked to China'!$A$1:$K$34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<sst xmlns="http://schemas.openxmlformats.org/spreadsheetml/2006/main" count="2372" uniqueCount="1671">
  <si>
    <t xml:space="preserve">Mapping Global China - Phase 1 source inventory (1a UNESCO, 1b Chinese sources, 1c host-country and diaspora, 1d non-site data)</t>
  </si>
  <si>
    <t xml:space="preserve">As of 2026-09-30. Built from UNESCO's World Heritage syndication feeds (EN and ZH), UNESCO site, Tentative List and ICH pages.</t>
  </si>
  <si>
    <t xml:space="preserve">Summary</t>
  </si>
  <si>
    <t xml:space="preserve">China World Heritage properties</t>
  </si>
  <si>
    <t xml:space="preserve">  of which Cultural</t>
  </si>
  <si>
    <t xml:space="preserve">  of which Natural</t>
  </si>
  <si>
    <t xml:space="preserve">  of which Mixed</t>
  </si>
  <si>
    <t xml:space="preserve">  of which transnational</t>
  </si>
  <si>
    <t xml:space="preserve">  with an outward link in UNESCO's text</t>
  </si>
  <si>
    <t xml:space="preserve">China Tentative List entries</t>
  </si>
  <si>
    <t xml:space="preserve">  with a Silk Road / maritime link</t>
  </si>
  <si>
    <t xml:space="preserve">World Heritage sites abroad linked to China in UNESCO text</t>
  </si>
  <si>
    <t xml:space="preserve">  excluding geographic-only mentions</t>
  </si>
  <si>
    <t xml:space="preserve">Sheets</t>
  </si>
  <si>
    <t xml:space="preserve">China WH List</t>
  </si>
  <si>
    <t xml:space="preserve">All 61 inscribed properties with Chinese names, coordinates (first component point), transnational flag, and any outward link stated in UNESCO's own description.</t>
  </si>
  <si>
    <t xml:space="preserve">China Tentative List</t>
  </si>
  <si>
    <t xml:space="preserve">All 60 entries. Two put the maritime routes under the Silk Roads name (2008, 2016).</t>
  </si>
  <si>
    <t xml:space="preserve">Sites Abroad Linked to China</t>
  </si>
  <si>
    <t xml:space="preserve">Properties in other countries whose UNESCO text mentions China, Chinese people or the Silk Roads. Link type is my coding and should be reviewed.</t>
  </si>
  <si>
    <t xml:space="preserve">Other UNESCO Records</t>
  </si>
  <si>
    <t xml:space="preserve">Intangible heritage, Memory of the World, Silk Roads programme and centres relevant to the project.</t>
  </si>
  <si>
    <t xml:space="preserve">Docs - Silk Roads 1442</t>
  </si>
  <si>
    <t xml:space="preserve">Full document trail for the one transnational property China is part of.</t>
  </si>
  <si>
    <t xml:space="preserve">Data Access</t>
  </si>
  <si>
    <t xml:space="preserve">What each UNESCO source offers, how to get it, gaps and terms of use.</t>
  </si>
  <si>
    <t xml:space="preserve">Legend</t>
  </si>
  <si>
    <t xml:space="preserve">Yellow columns</t>
  </si>
  <si>
    <t xml:space="preserve">For you to fill in: notes and verification status.</t>
  </si>
  <si>
    <t xml:space="preserve">Coordinates</t>
  </si>
  <si>
    <t xml:space="preserve">First component point from UNESCO's feed; serial sites have several points (see 'Component points').</t>
  </si>
  <si>
    <t xml:space="preserve">Terms of use</t>
  </si>
  <si>
    <t xml:space="preserve">UNESCO: 'Any republication, online or in any other form, of any UNESCO/WHC data requires prior written authorization.' Required credit: Copyright © 1992-2026 UNESCO/World Heritage Centre. All rights reserved. Fine for internal research; ask UNESCO before publishing a map layer built on this data.</t>
  </si>
  <si>
    <t xml:space="preserve">Phase 1b (added 2026-09-30)</t>
  </si>
  <si>
    <t xml:space="preserve">Chinese sources surveyed</t>
  </si>
  <si>
    <t xml:space="preserve">Dated framing examples</t>
  </si>
  <si>
    <t xml:space="preserve">Chinese projects abroad (from sources read)</t>
  </si>
  <si>
    <t xml:space="preserve">1b Chinese Sources</t>
  </si>
  <si>
    <t xml:space="preserve">Inventory in the roadmap's 1e format: coverage, language, how systematic, access, historical versions, framing, reliability.</t>
  </si>
  <si>
    <t xml:space="preserve">1b Framing Examples</t>
  </si>
  <si>
    <t xml:space="preserve">Dated verbatim quotes from government, embassy, research and ICH sources, with English gloss. Seed data for the narrative layer and Phase 5.</t>
  </si>
  <si>
    <t xml:space="preserve">1b Chinese Projects Abroad</t>
  </si>
  <si>
    <t xml:space="preserve">Aid restoration and joint archaeology projects named in the sources read. Seed for the institutional-engagement layer.</t>
  </si>
  <si>
    <t xml:space="preserve">Phase 1c (added 2026-10-05)</t>
  </si>
  <si>
    <t xml:space="preserve">Host-country and diaspora sources surveyed</t>
  </si>
  <si>
    <t xml:space="preserve">Host-country framing examples</t>
  </si>
  <si>
    <t xml:space="preserve">1c Host &amp; Diaspora Sources</t>
  </si>
  <si>
    <t xml:space="preserve">Same inventory format as 1b, with a Region column: Malaysia, Central Asia, Cambodia, Kenya, United States, Australia and cross-country datasets.</t>
  </si>
  <si>
    <t xml:space="preserve">1c Framing Examples</t>
  </si>
  <si>
    <t xml:space="preserve">How host-country bodies describe sites. Wording was retrieved through a web-reading tool, so each quote needs checking against its page (yellow column).</t>
  </si>
  <si>
    <t xml:space="preserve">Phase 1d (added 2026-10-05)</t>
  </si>
  <si>
    <t xml:space="preserve">Non-site data sources surveyed</t>
  </si>
  <si>
    <t xml:space="preserve">Agreements found in China's treaty database</t>
  </si>
  <si>
    <t xml:space="preserve">  of which on illicit trafficking</t>
  </si>
  <si>
    <t xml:space="preserve">  of which heritage cooperation</t>
  </si>
  <si>
    <t xml:space="preserve">Programmes and outcomes recorded</t>
  </si>
  <si>
    <t xml:space="preserve">1d Non-site Data Sources</t>
  </si>
  <si>
    <t xml:space="preserve">Inventory of sources for agreements, legal frameworks, UNESCO meetings, partnerships, training and projects.</t>
  </si>
  <si>
    <t xml:space="preserve">1d Agreements (MFA DB)</t>
  </si>
  <si>
    <t xml:space="preserve">All records matching five heritage keywords in the Foreign Ministry treaty database, copied from the database. Partner and category columns are my coding.</t>
  </si>
  <si>
    <t xml:space="preserve">1d Programmes &amp; Outcomes</t>
  </si>
  <si>
    <t xml:space="preserve">Dated seed records of funds, organisations and deliverables, with original wording where copied from the page.</t>
  </si>
  <si>
    <t xml:space="preserve">UNESCO ID</t>
  </si>
  <si>
    <t xml:space="preserve">Site name (EN)</t>
  </si>
  <si>
    <t xml:space="preserve">Site name (ZH, UNESCO feed)</t>
  </si>
  <si>
    <t xml:space="preserve">Category</t>
  </si>
  <si>
    <t xml:space="preserve">Criteria</t>
  </si>
  <si>
    <t xml:space="preserve">Year inscribed</t>
  </si>
  <si>
    <t xml:space="preserve">Extensions</t>
  </si>
  <si>
    <t xml:space="preserve">Transnational</t>
  </si>
  <si>
    <t xml:space="preserve">Other States Parties</t>
  </si>
  <si>
    <t xml:space="preserve">Component points</t>
  </si>
  <si>
    <t xml:space="preserve">Latitude</t>
  </si>
  <si>
    <t xml:space="preserve">Longitude</t>
  </si>
  <si>
    <t xml:space="preserve">Outward link in UNESCO text</t>
  </si>
  <si>
    <t xml:space="preserve">UNESCO wording (EN short description)</t>
  </si>
  <si>
    <t xml:space="preserve">Site page</t>
  </si>
  <si>
    <t xml:space="preserve">Documents page</t>
  </si>
  <si>
    <t xml:space="preserve">Your notes</t>
  </si>
  <si>
    <t xml:space="preserve">Verification status</t>
  </si>
  <si>
    <t xml:space="preserve">Mount Taishan</t>
  </si>
  <si>
    <t xml:space="preserve">泰山</t>
  </si>
  <si>
    <t xml:space="preserve">Mixed</t>
  </si>
  <si>
    <t xml:space="preserve">(i)(ii)(iii)(iv)(v)(vi)(vii)</t>
  </si>
  <si>
    <t xml:space="preserve">No</t>
  </si>
  <si>
    <t xml:space="preserve">https://whc.unesco.org/en/list/437/</t>
  </si>
  <si>
    <t xml:space="preserve">https://whc.unesco.org/en/list/437/documents/</t>
  </si>
  <si>
    <t xml:space="preserve">The Great Wall</t>
  </si>
  <si>
    <t xml:space="preserve">长城</t>
  </si>
  <si>
    <t xml:space="preserve">Cultural</t>
  </si>
  <si>
    <t xml:space="preserve">(i)(ii)(iii)(iv)(vi)</t>
  </si>
  <si>
    <t xml:space="preserve">https://whc.unesco.org/en/list/438/</t>
  </si>
  <si>
    <t xml:space="preserve">https://whc.unesco.org/en/list/438/documents/</t>
  </si>
  <si>
    <t xml:space="preserve">Imperial Palaces of the Ming and Qing Dynasties in Beijing and Shenyang</t>
  </si>
  <si>
    <t xml:space="preserve">明清故宫（北京故宫、沈阳故宫）</t>
  </si>
  <si>
    <t xml:space="preserve">(i)(ii)(iii)(iv)</t>
  </si>
  <si>
    <t xml:space="preserve">2004</t>
  </si>
  <si>
    <t xml:space="preserve">https://whc.unesco.org/en/list/439/</t>
  </si>
  <si>
    <t xml:space="preserve">https://whc.unesco.org/en/list/439/documents/</t>
  </si>
  <si>
    <t xml:space="preserve">Mogao Caves</t>
  </si>
  <si>
    <t xml:space="preserve">莫高窟</t>
  </si>
  <si>
    <t xml:space="preserve">(i)(ii)(iii)(iv)(v)(vi)</t>
  </si>
  <si>
    <t xml:space="preserve">Silk Roads</t>
  </si>
  <si>
    <t xml:space="preserve">Situated at a strategic point along the Silk Route, at the crossroads of trade as well as religious, cultural and intellectual influences...</t>
  </si>
  <si>
    <t xml:space="preserve">https://whc.unesco.org/en/list/440/</t>
  </si>
  <si>
    <t xml:space="preserve">https://whc.unesco.org/en/list/440/documents/</t>
  </si>
  <si>
    <t xml:space="preserve">Mausoleum of the First Qin Emperor</t>
  </si>
  <si>
    <t xml:space="preserve">秦始皇陵及兵马俑坑</t>
  </si>
  <si>
    <t xml:space="preserve">(i)(iii)(iv)(vi)</t>
  </si>
  <si>
    <t xml:space="preserve">https://whc.unesco.org/en/list/441/</t>
  </si>
  <si>
    <t xml:space="preserve">https://whc.unesco.org/en/list/441/documents/</t>
  </si>
  <si>
    <t xml:space="preserve">Peking Man Site at Zhoukoudian</t>
  </si>
  <si>
    <t xml:space="preserve">周口店北京人遗址</t>
  </si>
  <si>
    <t xml:space="preserve">(iii)(vi)</t>
  </si>
  <si>
    <t xml:space="preserve">https://whc.unesco.org/en/list/449/</t>
  </si>
  <si>
    <t xml:space="preserve">https://whc.unesco.org/en/list/449/documents/</t>
  </si>
  <si>
    <t xml:space="preserve">Mount Huangshan</t>
  </si>
  <si>
    <t xml:space="preserve">黄山</t>
  </si>
  <si>
    <t xml:space="preserve">(ii)(vii)(x)</t>
  </si>
  <si>
    <t xml:space="preserve">https://whc.unesco.org/en/list/547/</t>
  </si>
  <si>
    <t xml:space="preserve">https://whc.unesco.org/en/list/547/documents/</t>
  </si>
  <si>
    <t xml:space="preserve">Jiuzhaigou Valley Scenic and Historic Interest Area</t>
  </si>
  <si>
    <t xml:space="preserve">九寨沟风景名胜区</t>
  </si>
  <si>
    <t xml:space="preserve">Natural</t>
  </si>
  <si>
    <t xml:space="preserve">(vii)</t>
  </si>
  <si>
    <t xml:space="preserve">https://whc.unesco.org/en/list/637/</t>
  </si>
  <si>
    <t xml:space="preserve">https://whc.unesco.org/en/list/637/documents/</t>
  </si>
  <si>
    <t xml:space="preserve">Huanglong Scenic and Historic Interest Area</t>
  </si>
  <si>
    <t xml:space="preserve">黄龙风景名胜区</t>
  </si>
  <si>
    <t xml:space="preserve">https://whc.unesco.org/en/list/638/</t>
  </si>
  <si>
    <t xml:space="preserve">https://whc.unesco.org/en/list/638/documents/</t>
  </si>
  <si>
    <t xml:space="preserve">Wulingyuan Scenic and Historic Interest Area</t>
  </si>
  <si>
    <t xml:space="preserve">武陵源风景名胜区</t>
  </si>
  <si>
    <t xml:space="preserve">https://whc.unesco.org/en/list/640/</t>
  </si>
  <si>
    <t xml:space="preserve">https://whc.unesco.org/en/list/640/documents/</t>
  </si>
  <si>
    <t xml:space="preserve">Mountain Resort and its Outlying Temples, Chengde</t>
  </si>
  <si>
    <t xml:space="preserve">承德避暑山庄及其周围寺庙</t>
  </si>
  <si>
    <t xml:space="preserve">(ii)(iv)</t>
  </si>
  <si>
    <t xml:space="preserve">https://whc.unesco.org/en/list/703/</t>
  </si>
  <si>
    <t xml:space="preserve">https://whc.unesco.org/en/list/703/documents/</t>
  </si>
  <si>
    <t xml:space="preserve">Temple and Cemetery of Confucius and the Kong Family Mansion in Qufu</t>
  </si>
  <si>
    <t xml:space="preserve">曲阜孔庙、孔林和孔府</t>
  </si>
  <si>
    <t xml:space="preserve">(i)(iv)(vi)</t>
  </si>
  <si>
    <t xml:space="preserve">https://whc.unesco.org/en/list/704/</t>
  </si>
  <si>
    <t xml:space="preserve">https://whc.unesco.org/en/list/704/documents/</t>
  </si>
  <si>
    <t xml:space="preserve">Ancient Building Complex in the Wudang Mountains</t>
  </si>
  <si>
    <t xml:space="preserve">武当山古建筑群</t>
  </si>
  <si>
    <t xml:space="preserve">(i)(ii)(vi)</t>
  </si>
  <si>
    <t xml:space="preserve">https://whc.unesco.org/en/list/705/</t>
  </si>
  <si>
    <t xml:space="preserve">https://whc.unesco.org/en/list/705/documents/</t>
  </si>
  <si>
    <t xml:space="preserve">Historic Ensemble of the Potala Palace, Lhasa</t>
  </si>
  <si>
    <t xml:space="preserve">拉萨布达拉宫历史建筑群</t>
  </si>
  <si>
    <t xml:space="preserve">2000, 2001</t>
  </si>
  <si>
    <t xml:space="preserve">https://whc.unesco.org/en/list/707/</t>
  </si>
  <si>
    <t xml:space="preserve">https://whc.unesco.org/en/list/707/documents/</t>
  </si>
  <si>
    <t xml:space="preserve">Lushan National Park</t>
  </si>
  <si>
    <t xml:space="preserve">庐山国家公园</t>
  </si>
  <si>
    <t xml:space="preserve">(ii)(iii)(iv)(vi)</t>
  </si>
  <si>
    <t xml:space="preserve">https://whc.unesco.org/en/list/778/</t>
  </si>
  <si>
    <t xml:space="preserve">https://whc.unesco.org/en/list/778/documents/</t>
  </si>
  <si>
    <t xml:space="preserve">Mount Emei Scenic Area, including Leshan Giant Buddha Scenic Area</t>
  </si>
  <si>
    <t xml:space="preserve">峨眉山—乐山大佛</t>
  </si>
  <si>
    <t xml:space="preserve">(iv)(vi)(x)</t>
  </si>
  <si>
    <t xml:space="preserve">https://whc.unesco.org/en/list/779/</t>
  </si>
  <si>
    <t xml:space="preserve">https://whc.unesco.org/en/list/779/documents/</t>
  </si>
  <si>
    <t xml:space="preserve">Old Town of Lijiang</t>
  </si>
  <si>
    <t xml:space="preserve">丽江古城</t>
  </si>
  <si>
    <t xml:space="preserve">(ii)(iv)(v)</t>
  </si>
  <si>
    <t xml:space="preserve">https://whc.unesco.org/en/list/811/</t>
  </si>
  <si>
    <t xml:space="preserve">https://whc.unesco.org/en/list/811/documents/</t>
  </si>
  <si>
    <t xml:space="preserve">Ancient City of Ping Yao</t>
  </si>
  <si>
    <t xml:space="preserve">平遥古城</t>
  </si>
  <si>
    <t xml:space="preserve">(ii)(iii)(iv)</t>
  </si>
  <si>
    <t xml:space="preserve">https://whc.unesco.org/en/list/812/</t>
  </si>
  <si>
    <t xml:space="preserve">https://whc.unesco.org/en/list/812/documents/</t>
  </si>
  <si>
    <t xml:space="preserve">Classical Gardens of Suzhou</t>
  </si>
  <si>
    <t xml:space="preserve">苏州古典园林</t>
  </si>
  <si>
    <t xml:space="preserve">(i)(ii)(iii)(iv)(v)</t>
  </si>
  <si>
    <t xml:space="preserve">2000</t>
  </si>
  <si>
    <t xml:space="preserve">https://whc.unesco.org/en/list/813/</t>
  </si>
  <si>
    <t xml:space="preserve">https://whc.unesco.org/en/list/813/documents/</t>
  </si>
  <si>
    <t xml:space="preserve">Summer Palace, an Imperial Garden in Beijing</t>
  </si>
  <si>
    <r>
      <rPr>
        <sz val="10"/>
        <rFont val="Noto Sans CJK SC"/>
        <family val="2"/>
      </rPr>
      <t xml:space="preserve">北京皇家园林</t>
    </r>
    <r>
      <rPr>
        <sz val="10"/>
        <rFont val="Arial"/>
        <family val="0"/>
        <charset val="1"/>
      </rPr>
      <t xml:space="preserve">-</t>
    </r>
    <r>
      <rPr>
        <sz val="10"/>
        <rFont val="Noto Sans CJK SC"/>
        <family val="2"/>
      </rPr>
      <t xml:space="preserve">颐和园</t>
    </r>
  </si>
  <si>
    <t xml:space="preserve">(i)(ii)(iii)</t>
  </si>
  <si>
    <t xml:space="preserve">https://whc.unesco.org/en/list/880/</t>
  </si>
  <si>
    <t xml:space="preserve">https://whc.unesco.org/en/list/880/documents/</t>
  </si>
  <si>
    <t xml:space="preserve">Temple of Heaven: an Imperial Sacrificial Altar in Beijing</t>
  </si>
  <si>
    <t xml:space="preserve">北京皇家祭坛—天坛</t>
  </si>
  <si>
    <t xml:space="preserve">https://whc.unesco.org/en/list/881/</t>
  </si>
  <si>
    <t xml:space="preserve">https://whc.unesco.org/en/list/881/documents/</t>
  </si>
  <si>
    <t xml:space="preserve">Mount Wuyi</t>
  </si>
  <si>
    <t xml:space="preserve">武夷山</t>
  </si>
  <si>
    <t xml:space="preserve">(iii)(vi)(vii)(x)</t>
  </si>
  <si>
    <t xml:space="preserve">https://whc.unesco.org/en/list/911/</t>
  </si>
  <si>
    <t xml:space="preserve">https://whc.unesco.org/en/list/911/documents/</t>
  </si>
  <si>
    <t xml:space="preserve">Dazu Rock Carvings</t>
  </si>
  <si>
    <t xml:space="preserve">大足石刻</t>
  </si>
  <si>
    <t xml:space="preserve">https://whc.unesco.org/en/list/912/</t>
  </si>
  <si>
    <t xml:space="preserve">https://whc.unesco.org/en/list/912/documents/</t>
  </si>
  <si>
    <t xml:space="preserve">Mount Qingcheng and the Dujiangyan Irrigation System</t>
  </si>
  <si>
    <t xml:space="preserve">青城山—都江堰</t>
  </si>
  <si>
    <t xml:space="preserve">(ii)(iv)(vi)</t>
  </si>
  <si>
    <t xml:space="preserve">https://whc.unesco.org/en/list/1001/</t>
  </si>
  <si>
    <t xml:space="preserve">https://whc.unesco.org/en/list/1001/documents/</t>
  </si>
  <si>
    <t xml:space="preserve">Ancient Villages in Southern Anhui – Xidi and Hongcun</t>
  </si>
  <si>
    <r>
      <rPr>
        <sz val="10"/>
        <rFont val="Noto Sans CJK SC"/>
        <family val="2"/>
      </rPr>
      <t xml:space="preserve">皖南古村落－西递、宏村（</t>
    </r>
    <r>
      <rPr>
        <sz val="10"/>
        <rFont val="Arial"/>
        <family val="0"/>
        <charset val="1"/>
      </rPr>
      <t xml:space="preserve">2000</t>
    </r>
    <r>
      <rPr>
        <sz val="10"/>
        <rFont val="Noto Sans CJK SC"/>
        <family val="2"/>
      </rPr>
      <t xml:space="preserve">年）</t>
    </r>
  </si>
  <si>
    <t xml:space="preserve">(iii)(iv)(v)</t>
  </si>
  <si>
    <t xml:space="preserve">https://whc.unesco.org/en/list/1002/</t>
  </si>
  <si>
    <t xml:space="preserve">https://whc.unesco.org/en/list/1002/documents/</t>
  </si>
  <si>
    <t xml:space="preserve">Longmen Grottoes</t>
  </si>
  <si>
    <t xml:space="preserve">龙门石窟</t>
  </si>
  <si>
    <t xml:space="preserve">https://whc.unesco.org/en/list/1003/</t>
  </si>
  <si>
    <t xml:space="preserve">https://whc.unesco.org/en/list/1003/documents/</t>
  </si>
  <si>
    <t xml:space="preserve">Imperial Tombs of the Ming and Qing Dynasties</t>
  </si>
  <si>
    <t xml:space="preserve">明清皇家陵寝</t>
  </si>
  <si>
    <t xml:space="preserve">2003, 2004</t>
  </si>
  <si>
    <t xml:space="preserve">https://whc.unesco.org/en/list/1004/</t>
  </si>
  <si>
    <t xml:space="preserve">https://whc.unesco.org/en/list/1004/documents/</t>
  </si>
  <si>
    <t xml:space="preserve">Yungang Grottoes</t>
  </si>
  <si>
    <t xml:space="preserve">云岗石窟</t>
  </si>
  <si>
    <t xml:space="preserve">https://whc.unesco.org/en/list/1039/</t>
  </si>
  <si>
    <t xml:space="preserve">https://whc.unesco.org/en/list/1039/documents/</t>
  </si>
  <si>
    <t xml:space="preserve">Three Parallel Rivers of Yunnan Protected Areas</t>
  </si>
  <si>
    <t xml:space="preserve">云南三江并流保护区</t>
  </si>
  <si>
    <t xml:space="preserve">(vii)(viii)(ix)(x)</t>
  </si>
  <si>
    <t xml:space="preserve">https://whc.unesco.org/en/list/1083/</t>
  </si>
  <si>
    <t xml:space="preserve">https://whc.unesco.org/en/list/1083/documents/</t>
  </si>
  <si>
    <t xml:space="preserve">Capital Cities and Tombs of the Ancient Koguryo Kingdom</t>
  </si>
  <si>
    <t xml:space="preserve">高句丽王城、王陵及贵族墓葬</t>
  </si>
  <si>
    <t xml:space="preserve">https://whc.unesco.org/en/list/1135/</t>
  </si>
  <si>
    <t xml:space="preserve">https://whc.unesco.org/en/list/1135/documents/</t>
  </si>
  <si>
    <t xml:space="preserve">Historic Centre of Macao</t>
  </si>
  <si>
    <t xml:space="preserve">澳门历史城区</t>
  </si>
  <si>
    <t xml:space="preserve">International trade / East-West encounter</t>
  </si>
  <si>
    <t xml:space="preserve">It bears witness to one of the earliest and longest-lasting encounters between China and the West, based on the vibrancy of international trade.</t>
  </si>
  <si>
    <t xml:space="preserve">https://whc.unesco.org/en/list/1110/</t>
  </si>
  <si>
    <t xml:space="preserve">https://whc.unesco.org/en/list/1110/documents/</t>
  </si>
  <si>
    <t xml:space="preserve">Yin Xu</t>
  </si>
  <si>
    <t xml:space="preserve">殷墟</t>
  </si>
  <si>
    <t xml:space="preserve">https://whc.unesco.org/en/list/1114/</t>
  </si>
  <si>
    <t xml:space="preserve">https://whc.unesco.org/en/list/1114/documents/</t>
  </si>
  <si>
    <t xml:space="preserve">Sichuan Giant Panda Sanctuaries - Wolong, Mt Siguniang and Jiajin Mountains</t>
  </si>
  <si>
    <t xml:space="preserve">四川大熊猫栖息地</t>
  </si>
  <si>
    <t xml:space="preserve">(x)</t>
  </si>
  <si>
    <t xml:space="preserve">https://whc.unesco.org/en/list/1213/</t>
  </si>
  <si>
    <t xml:space="preserve">https://whc.unesco.org/en/list/1213/documents/</t>
  </si>
  <si>
    <t xml:space="preserve">Kaiping Diaolou and Villages</t>
  </si>
  <si>
    <t xml:space="preserve">开平碉楼与村落</t>
  </si>
  <si>
    <t xml:space="preserve">Overseas Chinese / emigration</t>
  </si>
  <si>
    <t xml:space="preserve">They reflect the significant role of émigré Kaiping people in the development of several countries in South Asia, Australasia and North America, during the late 19th and early 20th centuries.</t>
  </si>
  <si>
    <t xml:space="preserve">https://whc.unesco.org/en/list/1112/</t>
  </si>
  <si>
    <t xml:space="preserve">https://whc.unesco.org/en/list/1112/documents/</t>
  </si>
  <si>
    <t xml:space="preserve">South China Karst</t>
  </si>
  <si>
    <t xml:space="preserve">中国南方喀斯特</t>
  </si>
  <si>
    <t xml:space="preserve">(vii)(viii)</t>
  </si>
  <si>
    <t xml:space="preserve">2014</t>
  </si>
  <si>
    <t xml:space="preserve">https://whc.unesco.org/en/list/1248/</t>
  </si>
  <si>
    <t xml:space="preserve">https://whc.unesco.org/en/list/1248/documents/</t>
  </si>
  <si>
    <t xml:space="preserve">Fujian Tulou</t>
  </si>
  <si>
    <t xml:space="preserve">福建土楼</t>
  </si>
  <si>
    <t xml:space="preserve">https://whc.unesco.org/en/list/1113/</t>
  </si>
  <si>
    <t xml:space="preserve">https://whc.unesco.org/en/list/1113/documents/</t>
  </si>
  <si>
    <t xml:space="preserve">Mount Sanqingshan National Park</t>
  </si>
  <si>
    <t xml:space="preserve">三清山国家公园</t>
  </si>
  <si>
    <t xml:space="preserve">https://whc.unesco.org/en/list/1292/</t>
  </si>
  <si>
    <t xml:space="preserve">https://whc.unesco.org/en/list/1292/documents/</t>
  </si>
  <si>
    <t xml:space="preserve">Mount Wutai</t>
  </si>
  <si>
    <t xml:space="preserve">五台山</t>
  </si>
  <si>
    <t xml:space="preserve">https://whc.unesco.org/en/list/1279/</t>
  </si>
  <si>
    <t xml:space="preserve">https://whc.unesco.org/en/list/1279/documents/</t>
  </si>
  <si>
    <t xml:space="preserve">Historic Monuments of Dengfeng in “The Centre of Heaven and Earth”</t>
  </si>
  <si>
    <t xml:space="preserve">登封 “天地之中”历史古迹</t>
  </si>
  <si>
    <t xml:space="preserve">https://whc.unesco.org/en/list/1305/</t>
  </si>
  <si>
    <t xml:space="preserve">https://whc.unesco.org/en/list/1305/documents/</t>
  </si>
  <si>
    <t xml:space="preserve">China Danxia</t>
  </si>
  <si>
    <t xml:space="preserve">中国丹霞</t>
  </si>
  <si>
    <t xml:space="preserve">https://whc.unesco.org/en/list/1335/</t>
  </si>
  <si>
    <t xml:space="preserve">https://whc.unesco.org/en/list/1335/documents/</t>
  </si>
  <si>
    <t xml:space="preserve">West Lake Cultural Landscape of Hangzhou</t>
  </si>
  <si>
    <t xml:space="preserve">杭州西湖文化景观</t>
  </si>
  <si>
    <t xml:space="preserve">(ii)(iii)(vi)</t>
  </si>
  <si>
    <t xml:space="preserve">https://whc.unesco.org/en/list/1334/</t>
  </si>
  <si>
    <t xml:space="preserve">https://whc.unesco.org/en/list/1334/documents/</t>
  </si>
  <si>
    <t xml:space="preserve">Chengjiang Fossil Site</t>
  </si>
  <si>
    <t xml:space="preserve">澄江化石遗址</t>
  </si>
  <si>
    <t xml:space="preserve">(viii)</t>
  </si>
  <si>
    <t xml:space="preserve">https://whc.unesco.org/en/list/1388/</t>
  </si>
  <si>
    <t xml:space="preserve">https://whc.unesco.org/en/list/1388/documents/</t>
  </si>
  <si>
    <t xml:space="preserve">Site of Xanadu</t>
  </si>
  <si>
    <t xml:space="preserve">元上都遗址</t>
  </si>
  <si>
    <t xml:space="preserve">Cross-cultural (Mongol-Han)</t>
  </si>
  <si>
    <t xml:space="preserve">...the site was a unique attempt to assimilate the nomadic Mongolian and Han Chinese cultures.</t>
  </si>
  <si>
    <t xml:space="preserve">https://whc.unesco.org/en/list/1389/</t>
  </si>
  <si>
    <t xml:space="preserve">https://whc.unesco.org/en/list/1389/documents/</t>
  </si>
  <si>
    <t xml:space="preserve">Cultural Landscape of Honghe Hani Rice Terraces</t>
  </si>
  <si>
    <t xml:space="preserve">(iii)(v)</t>
  </si>
  <si>
    <t xml:space="preserve">https://whc.unesco.org/en/list/1111/</t>
  </si>
  <si>
    <t xml:space="preserve">https://whc.unesco.org/en/list/1111/documents/</t>
  </si>
  <si>
    <t xml:space="preserve">Xinjiang Tianshan</t>
  </si>
  <si>
    <t xml:space="preserve">(vii)(ix)</t>
  </si>
  <si>
    <t xml:space="preserve">https://whc.unesco.org/en/list/1414/</t>
  </si>
  <si>
    <t xml:space="preserve">https://whc.unesco.org/en/list/1414/documents/</t>
  </si>
  <si>
    <t xml:space="preserve">Silk Roads: the Routes Network of Chang'an-Tianshan Corridor</t>
  </si>
  <si>
    <t xml:space="preserve">(ii)(iii)(v)(vi)</t>
  </si>
  <si>
    <t xml:space="preserve">Yes</t>
  </si>
  <si>
    <t xml:space="preserve">Kazakhstan, Kyrgyzstan</t>
  </si>
  <si>
    <t xml:space="preserve">This property is a 5,000 km section of the extensive Silk Roads network, stretching from Chang'an/Luoyang, the central capital of China in the Han and Tang dynasties, to the Zhetysu region of Central Asia.</t>
  </si>
  <si>
    <t xml:space="preserve">https://whc.unesco.org/en/list/1442/</t>
  </si>
  <si>
    <t xml:space="preserve">https://whc.unesco.org/en/list/1442/documents/</t>
  </si>
  <si>
    <t xml:space="preserve">The Grand Canal</t>
  </si>
  <si>
    <t xml:space="preserve">https://whc.unesco.org/en/list/1443/</t>
  </si>
  <si>
    <t xml:space="preserve">https://whc.unesco.org/en/list/1443/documents/</t>
  </si>
  <si>
    <t xml:space="preserve">Tusi Sites</t>
  </si>
  <si>
    <t xml:space="preserve">土司遗址</t>
  </si>
  <si>
    <t xml:space="preserve">(ii)(iii)</t>
  </si>
  <si>
    <t xml:space="preserve">https://whc.unesco.org/en/list/1474/</t>
  </si>
  <si>
    <t xml:space="preserve">https://whc.unesco.org/en/list/1474/documents/</t>
  </si>
  <si>
    <t xml:space="preserve">Zuojiang Huashan Rock Art Cultural Landscape</t>
  </si>
  <si>
    <t xml:space="preserve">左江花山岩画文化景观</t>
  </si>
  <si>
    <t xml:space="preserve">https://whc.unesco.org/en/list/1508/</t>
  </si>
  <si>
    <t xml:space="preserve">https://whc.unesco.org/en/list/1508/documents/</t>
  </si>
  <si>
    <t xml:space="preserve">Hubei Shennongjia</t>
  </si>
  <si>
    <t xml:space="preserve">湖北神农架</t>
  </si>
  <si>
    <t xml:space="preserve">(ix)(x)</t>
  </si>
  <si>
    <t xml:space="preserve">https://whc.unesco.org/en/list/1509/</t>
  </si>
  <si>
    <t xml:space="preserve">https://whc.unesco.org/en/list/1509/documents/</t>
  </si>
  <si>
    <t xml:space="preserve">Qinghai Hoh Xil</t>
  </si>
  <si>
    <t xml:space="preserve">(vii)(x)</t>
  </si>
  <si>
    <t xml:space="preserve">https://whc.unesco.org/en/list/1540/</t>
  </si>
  <si>
    <t xml:space="preserve">https://whc.unesco.org/en/list/1540/documents/</t>
  </si>
  <si>
    <t xml:space="preserve">Kulangsu, a Historic International Settlement</t>
  </si>
  <si>
    <t xml:space="preserve">Sino-foreign exchange</t>
  </si>
  <si>
    <t xml:space="preserve">...this island off the southern coast of the Chinese empire suddenly became an important window for Sino-foreign exchanges.</t>
  </si>
  <si>
    <t xml:space="preserve">https://whc.unesco.org/en/list/1541/</t>
  </si>
  <si>
    <t xml:space="preserve">https://whc.unesco.org/en/list/1541/documents/</t>
  </si>
  <si>
    <t xml:space="preserve">Fanjingshan</t>
  </si>
  <si>
    <t xml:space="preserve">梵净山</t>
  </si>
  <si>
    <t xml:space="preserve">https://whc.unesco.org/en/list/1559/</t>
  </si>
  <si>
    <t xml:space="preserve">https://whc.unesco.org/en/list/1559/documents/</t>
  </si>
  <si>
    <t xml:space="preserve">Archaeological Ruins of Liangzhu City</t>
  </si>
  <si>
    <t xml:space="preserve">良渚古城遗址</t>
  </si>
  <si>
    <t xml:space="preserve">(iii)(iv)</t>
  </si>
  <si>
    <t xml:space="preserve">https://whc.unesco.org/en/list/1592/</t>
  </si>
  <si>
    <t xml:space="preserve">https://whc.unesco.org/en/list/1592/documents/</t>
  </si>
  <si>
    <t xml:space="preserve">Migratory Bird Sanctuaries along the Coast of Yellow Sea-Bohai Gulf of China</t>
  </si>
  <si>
    <t xml:space="preserve">中国黄（渤）海候鸟栖息地</t>
  </si>
  <si>
    <t xml:space="preserve">2024</t>
  </si>
  <si>
    <t xml:space="preserve">https://whc.unesco.org/en/list/1606/</t>
  </si>
  <si>
    <t xml:space="preserve">https://whc.unesco.org/en/list/1606/documents/</t>
  </si>
  <si>
    <t xml:space="preserve">Quanzhou: Emporium of the World in Song-Yuan China</t>
  </si>
  <si>
    <t xml:space="preserve">泉州：宋元中国的世界海洋商贸中心</t>
  </si>
  <si>
    <t xml:space="preserve">(iv)</t>
  </si>
  <si>
    <t xml:space="preserve">Maritime trade</t>
  </si>
  <si>
    <t xml:space="preserve">The serial site of Quanzhou illustrates the city's vibrancy as a maritime emporium during the Song and Yuan periods (10th - 14th centuries AD) and its interconnection with the Chinese hinterland.</t>
  </si>
  <si>
    <t xml:space="preserve">https://whc.unesco.org/en/list/1561/</t>
  </si>
  <si>
    <t xml:space="preserve">https://whc.unesco.org/en/list/1561/documents/</t>
  </si>
  <si>
    <t xml:space="preserve">Cultural Landscape of Old Tea Forests of the Jingmai Mountain in Pu’er</t>
  </si>
  <si>
    <t xml:space="preserve">普洱景迈山古茶林文化景观</t>
  </si>
  <si>
    <t xml:space="preserve">https://whc.unesco.org/en/list/1665/</t>
  </si>
  <si>
    <t xml:space="preserve">https://whc.unesco.org/en/list/1665/documents/</t>
  </si>
  <si>
    <t xml:space="preserve">Badain Jaran Desert - Towers of Sand and Lakes</t>
  </si>
  <si>
    <t xml:space="preserve">巴丹吉林沙漠——沙山湖泊群</t>
  </si>
  <si>
    <t xml:space="preserve">https://whc.unesco.org/en/list/1638/</t>
  </si>
  <si>
    <t xml:space="preserve">https://whc.unesco.org/en/list/1638/documents/</t>
  </si>
  <si>
    <t xml:space="preserve">Beijing Central Axis: A Building Ensemble Exhibiting the Ideal Order of the Chinese Capital</t>
  </si>
  <si>
    <t xml:space="preserve">北京中轴线：中国理想都城秩序的杰作</t>
  </si>
  <si>
    <t xml:space="preserve">https://whc.unesco.org/en/list/1714/</t>
  </si>
  <si>
    <t xml:space="preserve">https://whc.unesco.org/en/list/1714/documents/</t>
  </si>
  <si>
    <t xml:space="preserve">Xixia Imperial Tombs</t>
  </si>
  <si>
    <t xml:space="preserve">西夏陵</t>
  </si>
  <si>
    <t xml:space="preserve">Positioned along the Silk Road, it became a multicultural civilization modelled on Chinese imperial traditions, with Buddhism at its core.</t>
  </si>
  <si>
    <t xml:space="preserve">https://whc.unesco.org/en/list/1736/</t>
  </si>
  <si>
    <t xml:space="preserve">https://whc.unesco.org/en/list/1736/documents/</t>
  </si>
  <si>
    <t xml:space="preserve">Jingdezhen Handicraft Porcelain Industry Sites</t>
  </si>
  <si>
    <t xml:space="preserve">景德镇手工瓷业遗存</t>
  </si>
  <si>
    <t xml:space="preserve">Global trade (porcelain)</t>
  </si>
  <si>
    <t xml:space="preserve">...the production of handicraft porcelain from the 10th to 19th centuries that had profound industrial, artistic and trading influences in China and beyond globally.</t>
  </si>
  <si>
    <t xml:space="preserve">https://whc.unesco.org/en/list/1765/</t>
  </si>
  <si>
    <t xml:space="preserve">https://whc.unesco.org/en/list/1765/documents/</t>
  </si>
  <si>
    <t xml:space="preserve">UNESCO TL ID</t>
  </si>
  <si>
    <t xml:space="preserve">Name (as submitted)</t>
  </si>
  <si>
    <t xml:space="preserve">Year submitted</t>
  </si>
  <si>
    <t xml:space="preserve">Silk Road / maritime link</t>
  </si>
  <si>
    <t xml:space="preserve">Notes</t>
  </si>
  <si>
    <t xml:space="preserve">UNESCO page</t>
  </si>
  <si>
    <t xml:space="preserve">Dongzhai Port Nature Reserve</t>
  </si>
  <si>
    <t xml:space="preserve">https://whc.unesco.org/en/tentativelists/105/</t>
  </si>
  <si>
    <t xml:space="preserve">The Alligator Sinensis Nature Reserve</t>
  </si>
  <si>
    <t xml:space="preserve">https://whc.unesco.org/en/tentativelists/106/</t>
  </si>
  <si>
    <t xml:space="preserve">Poyang Nature Reserve</t>
  </si>
  <si>
    <t xml:space="preserve">https://whc.unesco.org/en/tentativelists/107/</t>
  </si>
  <si>
    <t xml:space="preserve">The Lijiang River Scenic Zone at Guilin</t>
  </si>
  <si>
    <t xml:space="preserve">https://whc.unesco.org/en/tentativelists/108/</t>
  </si>
  <si>
    <t xml:space="preserve">Yalong, Tibet</t>
  </si>
  <si>
    <t xml:space="preserve">https://whc.unesco.org/en/tentativelists/1622/</t>
  </si>
  <si>
    <t xml:space="preserve">Yangtze Gorges Scenic Spot</t>
  </si>
  <si>
    <t xml:space="preserve">https://whc.unesco.org/en/tentativelists/1623/</t>
  </si>
  <si>
    <t xml:space="preserve">Jinfushan Scenic Spot</t>
  </si>
  <si>
    <t xml:space="preserve">https://whc.unesco.org/en/tentativelists/1624/</t>
  </si>
  <si>
    <t xml:space="preserve">Heaven Pit and Ground Seam Scenic Spot</t>
  </si>
  <si>
    <t xml:space="preserve">https://whc.unesco.org/en/tentativelists/1625/</t>
  </si>
  <si>
    <t xml:space="preserve">Hua Shan Scenic Area</t>
  </si>
  <si>
    <t xml:space="preserve">https://whc.unesco.org/en/tentativelists/1626/</t>
  </si>
  <si>
    <t xml:space="preserve">Yandang Mountain</t>
  </si>
  <si>
    <t xml:space="preserve">https://whc.unesco.org/en/tentativelists/1627/</t>
  </si>
  <si>
    <t xml:space="preserve">Nanxi River</t>
  </si>
  <si>
    <t xml:space="preserve">https://whc.unesco.org/en/tentativelists/1629/</t>
  </si>
  <si>
    <t xml:space="preserve">Maijishan Scenic Spots</t>
  </si>
  <si>
    <t xml:space="preserve">https://whc.unesco.org/en/tentativelists/1631/</t>
  </si>
  <si>
    <t xml:space="preserve">Wudalianchi Scenic Spots</t>
  </si>
  <si>
    <t xml:space="preserve">https://whc.unesco.org/en/tentativelists/1632/</t>
  </si>
  <si>
    <t xml:space="preserve">Haitan Scenic Spots</t>
  </si>
  <si>
    <t xml:space="preserve">https://whc.unesco.org/en/tentativelists/1633/</t>
  </si>
  <si>
    <t xml:space="preserve">Dali Chanshan Mountain and Erhai Lake Scenic Spot</t>
  </si>
  <si>
    <t xml:space="preserve">https://whc.unesco.org/en/tentativelists/1634/</t>
  </si>
  <si>
    <t xml:space="preserve">Sites for Liquor Making in China</t>
  </si>
  <si>
    <t xml:space="preserve">https://whc.unesco.org/en/tentativelists/5320/</t>
  </si>
  <si>
    <t xml:space="preserve">Ancient Residences in Shanxi and Shaanxi Provinces</t>
  </si>
  <si>
    <t xml:space="preserve">https://whc.unesco.org/en/tentativelists/5322/</t>
  </si>
  <si>
    <t xml:space="preserve">City Walls of the Ming and Qing Dynasties</t>
  </si>
  <si>
    <t xml:space="preserve">https://whc.unesco.org/en/tentativelists/5324/</t>
  </si>
  <si>
    <t xml:space="preserve">Slender West Lake and Historic Urban Area in Yangzhou</t>
  </si>
  <si>
    <t xml:space="preserve">https://whc.unesco.org/en/tentativelists/5327/</t>
  </si>
  <si>
    <t xml:space="preserve">The Ancient Waterfront Towns in the South of Yangtze River</t>
  </si>
  <si>
    <t xml:space="preserve">https://whc.unesco.org/en/tentativelists/5328/</t>
  </si>
  <si>
    <t xml:space="preserve">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t>
  </si>
  <si>
    <t xml:space="preserve">Silk Roads + Maritime</t>
  </si>
  <si>
    <t xml:space="preserve">2008 entry: land routes in six provinces plus sea routes at Ningbo and Quanzhou. Earliest TL entry to put the sea routes under the Silk Road name.</t>
  </si>
  <si>
    <t xml:space="preserve">https://whc.unesco.org/en/tentativelists/5335/</t>
  </si>
  <si>
    <t xml:space="preserve">Fenghuang Ancient City</t>
  </si>
  <si>
    <t xml:space="preserve">https://whc.unesco.org/en/tentativelists/5337/</t>
  </si>
  <si>
    <t xml:space="preserve">Site of Southern Yue State</t>
  </si>
  <si>
    <t xml:space="preserve">https://whc.unesco.org/en/tentativelists/5338/</t>
  </si>
  <si>
    <t xml:space="preserve">Baiheliang Ancient Hydrological Inscription</t>
  </si>
  <si>
    <t xml:space="preserve">https://whc.unesco.org/en/tentativelists/5341/</t>
  </si>
  <si>
    <t xml:space="preserve">Miao Nationality Villages in Southeast Guizhou Province: The villages of Miao Nationality at the Foot of Leigong Mountain in Miao Ling Mountains</t>
  </si>
  <si>
    <t xml:space="preserve">https://whc.unesco.org/en/tentativelists/5344/</t>
  </si>
  <si>
    <t xml:space="preserve">Karez Wells</t>
  </si>
  <si>
    <t xml:space="preserve">https://whc.unesco.org/en/tentativelists/5347/</t>
  </si>
  <si>
    <t xml:space="preserve">Expansion Project of Imperial Tombs of the Ming and Qing Dynasties: King Lujian's Tombs</t>
  </si>
  <si>
    <t xml:space="preserve">https://whc.unesco.org/en/tentativelists/5351/</t>
  </si>
  <si>
    <t xml:space="preserve">The Four Sacred Mountains as an Extension of Mt. Taishan</t>
  </si>
  <si>
    <t xml:space="preserve">https://whc.unesco.org/en/tentativelists/5353/</t>
  </si>
  <si>
    <t xml:space="preserve">Taklimakan Desert—Populus euphratica Forests</t>
  </si>
  <si>
    <t xml:space="preserve">https://whc.unesco.org/en/tentativelists/5532/</t>
  </si>
  <si>
    <t xml:space="preserve">China Altay</t>
  </si>
  <si>
    <t xml:space="preserve">https://whc.unesco.org/en/tentativelists/5533/</t>
  </si>
  <si>
    <t xml:space="preserve">Karakorum-Pamir</t>
  </si>
  <si>
    <t xml:space="preserve">https://whc.unesco.org/en/tentativelists/5535/</t>
  </si>
  <si>
    <t xml:space="preserve">Wooden Structures of Liao Dynasty—Wooden Pagoda of Yingxian County, Main Hall of Fengguo Monastery of Yixian County</t>
  </si>
  <si>
    <t xml:space="preserve">https://whc.unesco.org/en/tentativelists/5803/</t>
  </si>
  <si>
    <t xml:space="preserve">Sites of Hongshan Culture: The Niuheliang Archaeological Site, the Hongshanhou Archaeological Site, and Weijiawopu Archaeological Site</t>
  </si>
  <si>
    <t xml:space="preserve">https://whc.unesco.org/en/tentativelists/5804/</t>
  </si>
  <si>
    <t xml:space="preserve">Ancient Porcelain Kiln Site in China</t>
  </si>
  <si>
    <t xml:space="preserve">https://whc.unesco.org/en/tentativelists/5806/</t>
  </si>
  <si>
    <t xml:space="preserve">SanFangQiXiang</t>
  </si>
  <si>
    <t xml:space="preserve">https://whc.unesco.org/en/tentativelists/5808/</t>
  </si>
  <si>
    <t xml:space="preserve">Dong Villages</t>
  </si>
  <si>
    <t xml:space="preserve">https://whc.unesco.org/en/tentativelists/5813/</t>
  </si>
  <si>
    <t xml:space="preserve">Lingqu Canal</t>
  </si>
  <si>
    <t xml:space="preserve">https://whc.unesco.org/en/tentativelists/5814/</t>
  </si>
  <si>
    <t xml:space="preserve">Diaolou Buildings and Villages for Tibetan and Qiang Ethnic Groups</t>
  </si>
  <si>
    <t xml:space="preserve">https://whc.unesco.org/en/tentativelists/5815/</t>
  </si>
  <si>
    <t xml:space="preserve">Archaeological Sites of the Ancient Shu State: Site at Jinsha and Joint Tombs of Boat-shaped Coffins in Chengdu City, Sichuan Province; Site of Sanxingdui in Guanghan City, Sichuan Province 29C.BC-5C.BC</t>
  </si>
  <si>
    <t xml:space="preserve">https://whc.unesco.org/en/tentativelists/5816/</t>
  </si>
  <si>
    <t xml:space="preserve">Xinjiang Yardang</t>
  </si>
  <si>
    <t xml:space="preserve">https://whc.unesco.org/en/tentativelists/5989/</t>
  </si>
  <si>
    <t xml:space="preserve">Dunhuang Yardangs</t>
  </si>
  <si>
    <t xml:space="preserve">https://whc.unesco.org/en/tentativelists/5990/</t>
  </si>
  <si>
    <t xml:space="preserve">Tianzhushan</t>
  </si>
  <si>
    <t xml:space="preserve">https://whc.unesco.org/en/tentativelists/5992/</t>
  </si>
  <si>
    <t xml:space="preserve">Jinggangshan--North Wuyishan (Extension of Mount Wuyi)</t>
  </si>
  <si>
    <t xml:space="preserve">https://whc.unesco.org/en/tentativelists/5993/</t>
  </si>
  <si>
    <t xml:space="preserve">ShuDao</t>
  </si>
  <si>
    <t xml:space="preserve">https://whc.unesco.org/en/tentativelists/5994/</t>
  </si>
  <si>
    <t xml:space="preserve">Tulin-Guge Scenic and Historic Interest Areas</t>
  </si>
  <si>
    <t xml:space="preserve">https://whc.unesco.org/en/tentativelists/5995/</t>
  </si>
  <si>
    <t xml:space="preserve">The Chinese Section of the Silk Roads</t>
  </si>
  <si>
    <t xml:space="preserve">Submitted 22/02/2016 by China's National Commission for UNESCO; criteria (i)-(vi). Serial, China only: 32 land-route sites (6 provinces) + 31 sea-route sites (Fujian, Zhejiang, Guangdong, Jiangsu). No partner countries named. Describes routes 'connecting Asia. Africa and Europe'.</t>
  </si>
  <si>
    <t xml:space="preserve">https://whc.unesco.org/en/tentativelists/6093/</t>
  </si>
  <si>
    <t xml:space="preserve">Guancen Mountain -- Luya Mountain</t>
  </si>
  <si>
    <t xml:space="preserve">https://whc.unesco.org/en/tentativelists/6184/</t>
  </si>
  <si>
    <t xml:space="preserve">Hulun Buir Landscape &amp; Birthplace of Ancient Minority</t>
  </si>
  <si>
    <t xml:space="preserve">https://whc.unesco.org/en/tentativelists/6185/</t>
  </si>
  <si>
    <t xml:space="preserve">Qinghai Lake</t>
  </si>
  <si>
    <t xml:space="preserve">https://whc.unesco.org/en/tentativelists/6186/</t>
  </si>
  <si>
    <t xml:space="preserve">Scenic and historic area of Sacred Mountains and Lakes</t>
  </si>
  <si>
    <t xml:space="preserve">https://whc.unesco.org/en/tentativelists/6187/</t>
  </si>
  <si>
    <t xml:space="preserve">Taihang Mountain</t>
  </si>
  <si>
    <t xml:space="preserve">https://whc.unesco.org/en/tentativelists/6188/</t>
  </si>
  <si>
    <t xml:space="preserve">Vertical Vegetation Landscape and Volcanic Landscape in Changbai Mountain</t>
  </si>
  <si>
    <t xml:space="preserve">https://whc.unesco.org/en/tentativelists/6190/</t>
  </si>
  <si>
    <t xml:space="preserve">Huangguoshu Scenic Area</t>
  </si>
  <si>
    <t xml:space="preserve">https://whc.unesco.org/en/tentativelists/6380/</t>
  </si>
  <si>
    <t xml:space="preserve">Guizhou Triassic Fossil Sites</t>
  </si>
  <si>
    <t xml:space="preserve">https://whc.unesco.org/en/tentativelists/6381/</t>
  </si>
  <si>
    <t xml:space="preserve">Hainan Tropical Rainforest and the Traditional Settlement of Li Ethnic Group</t>
  </si>
  <si>
    <t xml:space="preserve">https://whc.unesco.org/en/tentativelists/6582/</t>
  </si>
  <si>
    <t xml:space="preserve">Fujian Minjiang River Estuary: The ecotone between marine and terrestrial biogeographical regions</t>
  </si>
  <si>
    <t xml:space="preserve">https://whc.unesco.org/en/tentativelists/6619/</t>
  </si>
  <si>
    <t xml:space="preserve">Hezheng Mammalian Fossil Sites of Gansu</t>
  </si>
  <si>
    <t xml:space="preserve">https://whc.unesco.org/en/tentativelists/6768/</t>
  </si>
  <si>
    <t xml:space="preserve">Guizhou Shuanghe Cave</t>
  </si>
  <si>
    <t xml:space="preserve">https://whc.unesco.org/en/tentativelists/6840/</t>
  </si>
  <si>
    <t xml:space="preserve">Zhangye Colorful Hills</t>
  </si>
  <si>
    <t xml:space="preserve">https://whc.unesco.org/en/tentativelists/6841/</t>
  </si>
  <si>
    <t xml:space="preserve">Jehol Biota Fossil Sites in Chaoyang</t>
  </si>
  <si>
    <t xml:space="preserve">https://whc.unesco.org/en/tentativelists/7021/</t>
  </si>
  <si>
    <t xml:space="preserve">States Parties</t>
  </si>
  <si>
    <t xml:space="preserve">Where UNESCO mentions it</t>
  </si>
  <si>
    <t xml:space="preserve">Link type (my coding)</t>
  </si>
  <si>
    <t xml:space="preserve">UNESCO wording (verbatim excerpt)</t>
  </si>
  <si>
    <t xml:space="preserve">Melaka and George Town, Historic Cities of the Straits of Malacca</t>
  </si>
  <si>
    <t xml:space="preserve">Malaysia</t>
  </si>
  <si>
    <t xml:space="preserve">Full OUV statement on site page only (not in feed text)</t>
  </si>
  <si>
    <t xml:space="preserve">Chinese community / trade</t>
  </si>
  <si>
    <t xml:space="preserve">Criterion (ii): Melaka and George Town represent exceptional examples of multi-cultural trading towns in East and Southeast Asia, forged from the mercantile and exchanges of Malay, Chinese, and Indian cultures and three successive European colonial powers for almost 500 years...</t>
  </si>
  <si>
    <t xml:space="preserve">https://whc.unesco.org/en/list/1223/</t>
  </si>
  <si>
    <t xml:space="preserve">Hoi An Ancient Town</t>
  </si>
  <si>
    <t xml:space="preserve">会安古镇</t>
  </si>
  <si>
    <t xml:space="preserve">Viet Nam</t>
  </si>
  <si>
    <t xml:space="preserve">The town reflects a fusion of indigenous and foreign cultures (principally Chinese and Japanese with later European influences) that combined to produce this unique survival.</t>
  </si>
  <si>
    <t xml:space="preserve">https://whc.unesco.org/en/list/948/</t>
  </si>
  <si>
    <t xml:space="preserve">Ombilin Coal Mining Heritage of Sawahlunto</t>
  </si>
  <si>
    <t xml:space="preserve">沙哇伦多的翁比林煤矿遗产</t>
  </si>
  <si>
    <t xml:space="preserve">Indonesia</t>
  </si>
  <si>
    <t xml:space="preserve">Short description (feed)</t>
  </si>
  <si>
    <t xml:space="preserve">Chinese labour / migration</t>
  </si>
  <si>
    <t xml:space="preserve">The workforce was recruited from the local Minangkabau people and supplemented by Javanese and Chinese contract workers, and convict labourers from Dutch-controlled areas.</t>
  </si>
  <si>
    <t xml:space="preserve">https://whc.unesco.org/en/list/1610/</t>
  </si>
  <si>
    <t xml:space="preserve">Historic City of Vigan</t>
  </si>
  <si>
    <t xml:space="preserve">维甘历史古城</t>
  </si>
  <si>
    <t xml:space="preserve">Philippines</t>
  </si>
  <si>
    <t xml:space="preserve">Its architecture reflects the coming together of cultural elements from elsewhere in the Philippines, from China and from Europe...</t>
  </si>
  <si>
    <t xml:space="preserve">https://whc.unesco.org/en/list/502/</t>
  </si>
  <si>
    <t xml:space="preserve">Baroque Churches of the Philippines</t>
  </si>
  <si>
    <t xml:space="preserve">菲律宾的巴洛克教堂</t>
  </si>
  <si>
    <t xml:space="preserve">Chinese craftsmen</t>
  </si>
  <si>
    <t xml:space="preserve">Their unique architectural style is a reinterpretation of European Baroque by Chinese and Philippine craftsmen.</t>
  </si>
  <si>
    <t xml:space="preserve">https://whc.unesco.org/en/list/677/</t>
  </si>
  <si>
    <t xml:space="preserve">Central Sector of the Imperial Citadel of Thang Long - Hanoi</t>
  </si>
  <si>
    <t xml:space="preserve">河内升龙皇城</t>
  </si>
  <si>
    <t xml:space="preserve">Chinese political presence / influence</t>
  </si>
  <si>
    <t xml:space="preserve">It was constructed on the remains of a Chinese fortress dating from the 7th century... at the crossroads between influences coming from China in the north and the ancient Kingdom of Champa in the south.</t>
  </si>
  <si>
    <t xml:space="preserve">https://whc.unesco.org/en/list/1328/</t>
  </si>
  <si>
    <t xml:space="preserve">Complex of Koguryo Tombs</t>
  </si>
  <si>
    <t xml:space="preserve">高句丽古墓群</t>
  </si>
  <si>
    <t xml:space="preserve">Democratic People's Republic of Korea</t>
  </si>
  <si>
    <t xml:space="preserve">Shared history (Koguryo)</t>
  </si>
  <si>
    <t xml:space="preserve">...the Koguryo Kingdom, one of the strongest kingdoms in nowadays northeast China and half of the Korean peninsula... Only about 90 out of more than 10,000 Koguryo tombs discovered in China and Korea so far, have wall paintings.</t>
  </si>
  <si>
    <t xml:space="preserve">https://whc.unesco.org/en/list/1091/</t>
  </si>
  <si>
    <t xml:space="preserve">Ancient City of Qalhat</t>
  </si>
  <si>
    <t xml:space="preserve">卡尔哈特古城</t>
  </si>
  <si>
    <t xml:space="preserve">Oman</t>
  </si>
  <si>
    <t xml:space="preserve">The Ancient City bears unique archaeological testimony to the trade links between the east coast of Arabia, East Africa, India, China and South-East Asia.</t>
  </si>
  <si>
    <t xml:space="preserve">https://whc.unesco.org/en/list/1537/</t>
  </si>
  <si>
    <t xml:space="preserve">Ruins of Kilwa Kisiwani and Ruins of Songo Mnara</t>
  </si>
  <si>
    <t xml:space="preserve">基尔瓦基斯瓦尼遗址和松戈马拉遗址</t>
  </si>
  <si>
    <t xml:space="preserve">United Republic of Tanzania</t>
  </si>
  <si>
    <t xml:space="preserve">Maritime trade (porcelain)</t>
  </si>
  <si>
    <t xml:space="preserve">From the 13th to the 16th century, the merchants of Kilwa dealt in gold, silver, pearls, perfumes, Arabian crockery, Persian earthenware and Chinese porcelain.</t>
  </si>
  <si>
    <t xml:space="preserve">https://whc.unesco.org/en/list/144/</t>
  </si>
  <si>
    <t xml:space="preserve">Khami Ruins National Monument</t>
  </si>
  <si>
    <t xml:space="preserve">卡米国家遗址纪念地</t>
  </si>
  <si>
    <t xml:space="preserve">Zimbabwe</t>
  </si>
  <si>
    <t xml:space="preserve">Trade goods</t>
  </si>
  <si>
    <t xml:space="preserve">The discovery of objects from Europe and China shows that Khami was a major centre for trade over a long period of time.</t>
  </si>
  <si>
    <t xml:space="preserve">https://whc.unesco.org/en/list/365/</t>
  </si>
  <si>
    <t xml:space="preserve">Iwami Ginzan Silver Mine and its Cultural Landscape</t>
  </si>
  <si>
    <t xml:space="preserve">石见银山遗迹及其文化景观</t>
  </si>
  <si>
    <t xml:space="preserve">Japan</t>
  </si>
  <si>
    <t xml:space="preserve">...port towns from where it was shipped to Korea and China.</t>
  </si>
  <si>
    <t xml:space="preserve">https://whc.unesco.org/en/list/1246/</t>
  </si>
  <si>
    <t xml:space="preserve">Gusuku Sites and Related Properties of the Kingdom of Ryukyu</t>
  </si>
  <si>
    <t xml:space="preserve">琉球王国时期的遗迹</t>
  </si>
  <si>
    <t xml:space="preserve">Justification of criteria (feed)</t>
  </si>
  <si>
    <t xml:space="preserve">Maritime trade / exchange</t>
  </si>
  <si>
    <t xml:space="preserve">For several centuries the Ryukyu islands served as a centre of economic and cultural interchange between south-east Asia, China, Korea, and Japan...</t>
  </si>
  <si>
    <t xml:space="preserve">https://whc.unesco.org/en/list/972/</t>
  </si>
  <si>
    <t xml:space="preserve">Buddhist Monuments in the Horyu-ji Area</t>
  </si>
  <si>
    <t xml:space="preserve">法隆寺地区的佛教古迹</t>
  </si>
  <si>
    <t xml:space="preserve">Cultural influence</t>
  </si>
  <si>
    <t xml:space="preserve">...they illustrate the adaptation of Chinese Buddhist architecture and layout to Japanese culture... the introduction of Buddhism to Japan from China by way of the Korean peninsula.</t>
  </si>
  <si>
    <t xml:space="preserve">https://whc.unesco.org/en/list/660/</t>
  </si>
  <si>
    <t xml:space="preserve">Historic Monuments of Ancient Kyoto (Kyoto, Uji and Otsu Cities)</t>
  </si>
  <si>
    <t xml:space="preserve">古京都遗址（京都、宇治和大津城）</t>
  </si>
  <si>
    <t xml:space="preserve">Built in A.D. 794 on the model of the capitals of ancient China, Kyoto was the imperial capital of Japan...</t>
  </si>
  <si>
    <t xml:space="preserve">https://whc.unesco.org/en/list/688/</t>
  </si>
  <si>
    <t xml:space="preserve">Historic Monuments of Ancient Nara</t>
  </si>
  <si>
    <t xml:space="preserve">古奈良的历史遗迹</t>
  </si>
  <si>
    <t xml:space="preserve">...the evolution of Japanese architecture and art as a result of cultural links with China and Korea...</t>
  </si>
  <si>
    <t xml:space="preserve">https://whc.unesco.org/en/list/870/</t>
  </si>
  <si>
    <t xml:space="preserve">Sacred Sites and Pilgrimage Routes in the Kii Mountain Range</t>
  </si>
  <si>
    <t xml:space="preserve">纪伊山地的圣地与参拜道</t>
  </si>
  <si>
    <t xml:space="preserve">...Buddhism, which was introduced from China and the Korean Peninsula.</t>
  </si>
  <si>
    <t xml:space="preserve">https://whc.unesco.org/en/list/1142/</t>
  </si>
  <si>
    <t xml:space="preserve">Ancient Capitals of Asuka and Fujiwara</t>
  </si>
  <si>
    <t xml:space="preserve">飞鸟与藤原古都</t>
  </si>
  <si>
    <t xml:space="preserve">...a centralised state system modelled after the Chinese codified law known as ritsuryō.</t>
  </si>
  <si>
    <t xml:space="preserve">https://whc.unesco.org/en/list/1757/</t>
  </si>
  <si>
    <t xml:space="preserve">Baekje Historic Areas</t>
  </si>
  <si>
    <t xml:space="preserve">百济遗址区</t>
  </si>
  <si>
    <t xml:space="preserve">Republic of Korea</t>
  </si>
  <si>
    <t xml:space="preserve">Cultural influence / exchange</t>
  </si>
  <si>
    <t xml:space="preserve">...exchanges between the ancient East Asian kingdoms in Korea, China and Japan.</t>
  </si>
  <si>
    <t xml:space="preserve">https://whc.unesco.org/en/list/1477/</t>
  </si>
  <si>
    <t xml:space="preserve">Seowon, Korean Neo-Confucian Academies</t>
  </si>
  <si>
    <t xml:space="preserve">韩国新儒学书院</t>
  </si>
  <si>
    <t xml:space="preserve">The seowons illustrate a historical process in which Neo-Confucianism from China was adapted to Korean conditions.</t>
  </si>
  <si>
    <t xml:space="preserve">https://whc.unesco.org/en/list/1498/</t>
  </si>
  <si>
    <t xml:space="preserve">Namhansanseong</t>
  </si>
  <si>
    <t xml:space="preserve">Conflict / influence</t>
  </si>
  <si>
    <t xml:space="preserve">...rebuilt... in anticipation of an attack from the Sino-Manchu Qing dynasty... based on Chinese and Japanese influences...</t>
  </si>
  <si>
    <t xml:space="preserve">https://whc.unesco.org/en/list/1439/</t>
  </si>
  <si>
    <t xml:space="preserve">Royal Domain of Drottningholm</t>
  </si>
  <si>
    <t xml:space="preserve">德罗特宁霍尔摩皇宫</t>
  </si>
  <si>
    <t xml:space="preserve">Sweden</t>
  </si>
  <si>
    <t xml:space="preserve">Chinoiserie (European taste)</t>
  </si>
  <si>
    <t xml:space="preserve">With its castle, perfectly preserved theatre (built in 1766), Chinese pavilion and gardens...</t>
  </si>
  <si>
    <t xml:space="preserve">https://whc.unesco.org/en/list/559/</t>
  </si>
  <si>
    <t xml:space="preserve">The Cemetery Complexes of the Xiongnu Nobility</t>
  </si>
  <si>
    <t xml:space="preserve">匈奴贵族墓葬群</t>
  </si>
  <si>
    <t xml:space="preserve">Mongolia</t>
  </si>
  <si>
    <t xml:space="preserve">Silk Roads / Han interaction</t>
  </si>
  <si>
    <t xml:space="preserve">They interacted with the Han Chinese and controlled nodes along the main parts of the Steppe Route of the Silk Roads.</t>
  </si>
  <si>
    <t xml:space="preserve">https://whc.unesco.org/en/list/1759/</t>
  </si>
  <si>
    <t xml:space="preserve">Silk Roads: Zarafshan-Karakum Corridor</t>
  </si>
  <si>
    <r>
      <rPr>
        <sz val="10"/>
        <rFont val="Noto Sans CJK SC"/>
        <family val="2"/>
      </rPr>
      <t xml:space="preserve">丝绸之路：扎拉夫尚</t>
    </r>
    <r>
      <rPr>
        <sz val="10"/>
        <rFont val="Arial"/>
        <family val="0"/>
        <charset val="1"/>
      </rPr>
      <t xml:space="preserve">-</t>
    </r>
    <r>
      <rPr>
        <sz val="10"/>
        <rFont val="Noto Sans CJK SC"/>
        <family val="2"/>
      </rPr>
      <t xml:space="preserve">卡拉库姆廊道</t>
    </r>
  </si>
  <si>
    <t xml:space="preserve">Tajikistan, Turkmenistan, Uzbekistan</t>
  </si>
  <si>
    <t xml:space="preserve">Site name + short description (feed)</t>
  </si>
  <si>
    <t xml:space="preserve">Silk Roads (no China component)</t>
  </si>
  <si>
    <t xml:space="preserve">The Zarafshan-Karakum Corridor is a key section of the Silk Roads in Central Asia that connects other corridors from all directions.</t>
  </si>
  <si>
    <t xml:space="preserve">https://whc.unesco.org/en/list/1675/</t>
  </si>
  <si>
    <t xml:space="preserve">Tabriz Historic Bazaar Complex</t>
  </si>
  <si>
    <t xml:space="preserve">大不里士的集市区</t>
  </si>
  <si>
    <t xml:space="preserve">Iran (Islamic Republic of)</t>
  </si>
  <si>
    <t xml:space="preserve">...one of the most important commercial centres on the Silk Road.</t>
  </si>
  <si>
    <t xml:space="preserve">https://whc.unesco.org/en/list/1346/</t>
  </si>
  <si>
    <t xml:space="preserve">Historic City of Yazd</t>
  </si>
  <si>
    <t xml:space="preserve">...close to the Spice and Silk Roads.</t>
  </si>
  <si>
    <t xml:space="preserve">https://whc.unesco.org/en/list/1544/</t>
  </si>
  <si>
    <t xml:space="preserve">Sulaiman-Too Sacred Mountain</t>
  </si>
  <si>
    <t xml:space="preserve">Kyrgyzstan</t>
  </si>
  <si>
    <t xml:space="preserve">...at the crossroads of important routes on the Central Asian Silk Roads.</t>
  </si>
  <si>
    <t xml:space="preserve">https://whc.unesco.org/en/list/1230/</t>
  </si>
  <si>
    <t xml:space="preserve">Cultural Heritage Sites of Ancient Khuttal</t>
  </si>
  <si>
    <t xml:space="preserve">古骨咄的文化遗产地</t>
  </si>
  <si>
    <t xml:space="preserve">Tajikistan</t>
  </si>
  <si>
    <t xml:space="preserve">...reflecting its role from the 7th to 16th centuries in Silk Roads trade.</t>
  </si>
  <si>
    <t xml:space="preserve">https://whc.unesco.org/en/list/1627/</t>
  </si>
  <si>
    <t xml:space="preserve">Archaeological Site of Ani</t>
  </si>
  <si>
    <t xml:space="preserve">Türkiye</t>
  </si>
  <si>
    <t xml:space="preserve">...profited from control of one branch of the Silk Road.</t>
  </si>
  <si>
    <t xml:space="preserve">https://whc.unesco.org/en/list/1518/</t>
  </si>
  <si>
    <t xml:space="preserve">Cultural Landscape and Archaeological Remains of the Bamiyan Valley</t>
  </si>
  <si>
    <t xml:space="preserve">巴米扬山谷的文化景观和考古遗迹</t>
  </si>
  <si>
    <t xml:space="preserve">Afghanistan</t>
  </si>
  <si>
    <t xml:space="preserve">...an important Buddhist centre on the Silk Road...</t>
  </si>
  <si>
    <t xml:space="preserve">https://whc.unesco.org/en/list/208/</t>
  </si>
  <si>
    <t xml:space="preserve">Landscapes of Dauria</t>
  </si>
  <si>
    <t xml:space="preserve">Mongolia, Russian Federation</t>
  </si>
  <si>
    <t xml:space="preserve">Geographic mention only</t>
  </si>
  <si>
    <t xml:space="preserve">...the Daurian Steppe eco-region, which extends from eastern Mongolia into Russian Siberia and northeastern China.</t>
  </si>
  <si>
    <t xml:space="preserve">https://whc.unesco.org/en/list/1448/</t>
  </si>
  <si>
    <t xml:space="preserve">Keoladeo National Park</t>
  </si>
  <si>
    <t xml:space="preserve">凯奥拉德奥国家公园</t>
  </si>
  <si>
    <t xml:space="preserve">India</t>
  </si>
  <si>
    <t xml:space="preserve">...wintering areas for large numbers of aquatic birds from Afghanistan, Turkmenistan, China and Siberia.</t>
  </si>
  <si>
    <t xml:space="preserve">https://whc.unesco.org/en/list/340/</t>
  </si>
  <si>
    <t xml:space="preserve">Kinabalu Park</t>
  </si>
  <si>
    <t xml:space="preserve">基纳巴卢山公园</t>
  </si>
  <si>
    <t xml:space="preserve">...flora from the Himalayas, China, Australia, Malaysia...</t>
  </si>
  <si>
    <t xml:space="preserve">https://whc.unesco.org/en/list/1012/</t>
  </si>
  <si>
    <t xml:space="preserve">Amami-Oshima Island, Tokunoshima Island, Northern part of Okinawa Island, and Iriomote Island</t>
  </si>
  <si>
    <t xml:space="preserve">奄美大岛、德之岛、冲绳岛北部及西表岛</t>
  </si>
  <si>
    <t xml:space="preserve">...the serial site forms an arc on the boundary of the East China Sea and Philippine Sea...</t>
  </si>
  <si>
    <t xml:space="preserve">https://whc.unesco.org/en/list/1574/</t>
  </si>
  <si>
    <t xml:space="preserve">Record type</t>
  </si>
  <si>
    <t xml:space="preserve">Name</t>
  </si>
  <si>
    <t xml:space="preserve">States</t>
  </si>
  <si>
    <t xml:space="preserve">Year(s)</t>
  </si>
  <si>
    <t xml:space="preserve">List / programme</t>
  </si>
  <si>
    <t xml:space="preserve">Relevance to project</t>
  </si>
  <si>
    <t xml:space="preserve">Link</t>
  </si>
  <si>
    <t xml:space="preserve">Intangible heritage (joint)</t>
  </si>
  <si>
    <t xml:space="preserve">Ong Chun/Wangchuan/Wangkang ceremony, rituals and related practices for maintaining the sustainable connection between man and the ocean</t>
  </si>
  <si>
    <t xml:space="preserve">China + Malaysia</t>
  </si>
  <si>
    <t xml:space="preserve">2020</t>
  </si>
  <si>
    <t xml:space="preserve">Representative List; decision 15.COM 8.B.22</t>
  </si>
  <si>
    <t xml:space="preserve">Diaspora / Maritime</t>
  </si>
  <si>
    <t xml:space="preserve">Joint China-Malaysia nomination. UNESCO text: 'Developed in China's Minnan region between the fifteenth and seventeenth centuries, the element is now centered in the coastal areas of Xiamen Bay and Quanzhou Bay, as well as in the Chinese communities in Melaka, Malaysia.'</t>
  </si>
  <si>
    <t xml:space="preserve">https://ich.unesco.org/en/RL/ong-chun-wangchuan-wangkang-ceremony-rituals-and-related-practices-for-maintaining-the-sustainable-connection-between-man-and-the-ocean-01608</t>
  </si>
  <si>
    <t xml:space="preserve">Urtiin Duu, traditional folk long song</t>
  </si>
  <si>
    <t xml:space="preserve">Mongolia + China</t>
  </si>
  <si>
    <t xml:space="preserve">2005 proclaimed; 2008 inscribed</t>
  </si>
  <si>
    <t xml:space="preserve">Representative List</t>
  </si>
  <si>
    <t xml:space="preserve">Shared cross-border tradition</t>
  </si>
  <si>
    <t xml:space="preserve">Joint Mongolia-China element.</t>
  </si>
  <si>
    <t xml:space="preserve">https://ich.unesco.org/en/RL/urtiin-duu-traditional-folk-long-song-00115</t>
  </si>
  <si>
    <t xml:space="preserve">Intangible heritage (parallel national)</t>
  </si>
  <si>
    <t xml:space="preserve">Mongolian art of singing, Khoomei (China) vs Mongolian traditional art of Khöömei (Mongolia)</t>
  </si>
  <si>
    <t xml:space="preserve">China (2009); Mongolia (2010)</t>
  </si>
  <si>
    <t xml:space="preserve">2009 / 2010</t>
  </si>
  <si>
    <t xml:space="preserve">Representative List, two separate national inscriptions</t>
  </si>
  <si>
    <t xml:space="preserve">Framing contest</t>
  </si>
  <si>
    <t xml:space="preserve">Same tradition inscribed separately by each state a year apart. Useful case for 'who defines heritage'.</t>
  </si>
  <si>
    <t xml:space="preserve">https://ich.unesco.org/en/RL/mongolian-art-of-singing-khoomei-00210 ; https://ich.unesco.org/en/RL/mongolian-traditional-art-of-khoomei-00396</t>
  </si>
  <si>
    <t xml:space="preserve">Intangible heritage (China only)</t>
  </si>
  <si>
    <t xml:space="preserve">Mazu belief and customs</t>
  </si>
  <si>
    <t xml:space="preserve">China</t>
  </si>
  <si>
    <t xml:space="preserve">2009</t>
  </si>
  <si>
    <t xml:space="preserve">Diaspora (lead)</t>
  </si>
  <si>
    <t xml:space="preserve">China-only inscription of a practice with temples across the Chinese diaspora. Lead for the historical-presence layer; not yet checked against UNESCO text.</t>
  </si>
  <si>
    <t xml:space="preserve">https://ich.unesco.org/en/state/china-CN?info=elements-on-the-lists</t>
  </si>
  <si>
    <t xml:space="preserve">Nanyin</t>
  </si>
  <si>
    <t xml:space="preserve">China-only inscription (Quanzhou music) also practised in Southeast Asian Chinese communities. Lead only; not yet checked against UNESCO text.</t>
  </si>
  <si>
    <t xml:space="preserve">Watertight-bulkhead technology of Chinese junks</t>
  </si>
  <si>
    <t xml:space="preserve">2010</t>
  </si>
  <si>
    <t xml:space="preserve">Urgent Safeguarding List</t>
  </si>
  <si>
    <t xml:space="preserve">Maritime (lead)</t>
  </si>
  <si>
    <t xml:space="preserve">Maritime technology; possible link to Maritime Silk Road framing. Lead only.</t>
  </si>
  <si>
    <t xml:space="preserve">Memory of the World</t>
  </si>
  <si>
    <t xml:space="preserve">Qiaopi and Yinxin Correspondence and Remittance Documents from Overseas Chinese</t>
  </si>
  <si>
    <t xml:space="preserve">2013 (international); 2012 Asia-Pacific register (Teochew qiaopi)</t>
  </si>
  <si>
    <t xml:space="preserve">International Register</t>
  </si>
  <si>
    <t xml:space="preserve">Diaspora</t>
  </si>
  <si>
    <t xml:space="preserve">Letters and remittances between overseas Chinese and home villages. Directly relevant to overseas Chinese heritage. UNESCO page could not be fetched (robots); details via secondary source.</t>
  </si>
  <si>
    <t xml:space="preserve">https://www.unesco.org/en/memory-world/qiaopi-and-yinxin-correspondence-and-remittance-documents-overseas-chinese</t>
  </si>
  <si>
    <t xml:space="preserve">UNESCO programme</t>
  </si>
  <si>
    <t xml:space="preserve">UNESCO Silk Roads Project / Programme (incl. 1990-91 Maritime Route Expedition)</t>
  </si>
  <si>
    <t xml:space="preserve">Multinational</t>
  </si>
  <si>
    <t xml:space="preserve">1988-1998 project; programme ongoing</t>
  </si>
  <si>
    <t xml:space="preserve">Social and Human Sciences Sector</t>
  </si>
  <si>
    <t xml:space="preserve">Silk Roads / Maritime</t>
  </si>
  <si>
    <t xml:space="preserve">Sen (2023) links the 1990-91 expedition ('90 scholars from 26 countries', 21 ports) to the rise of the 'Maritime Silk Road' concept in the PRC. Key for tracking framing over time.</t>
  </si>
  <si>
    <t xml:space="preserve">https://en.unesco.org/silkroad</t>
  </si>
  <si>
    <t xml:space="preserve">UNESCO capacity-building project</t>
  </si>
  <si>
    <t xml:space="preserve">Safeguarding World Heritage along the Silk Roads (Silk Roads transnational nomination support)</t>
  </si>
  <si>
    <t xml:space="preserve">Kazakhstan, Kyrgyzstan, Tajikistan, Turkmenistan, Uzbekistan, China and others</t>
  </si>
  <si>
    <t xml:space="preserve">2011-2014 (Phase I); 2015-2018 (Phase II)</t>
  </si>
  <si>
    <t xml:space="preserve">UNESCO/Japan Funds-in-Trust, run by World Heritage Centre</t>
  </si>
  <si>
    <t xml:space="preserve">Supported the corridor nominations, including Chang'an-Tianshan (2014). Shows Japan, not China, as funder of this track.</t>
  </si>
  <si>
    <t xml:space="preserve">https://southsouth-galaxy.org/solution/safeguarding-world-heritage-along-the-silk-roads/</t>
  </si>
  <si>
    <t xml:space="preserve">UNESCO category 2 centre (in China)</t>
  </si>
  <si>
    <t xml:space="preserve">World Heritage Institute of Training and Research for the Asia and the Pacific Region (WHITRAP)</t>
  </si>
  <si>
    <t xml:space="preserve">China (serves Asia-Pacific)</t>
  </si>
  <si>
    <t xml:space="preserve">Established under UNESCO auspices (year to confirm)</t>
  </si>
  <si>
    <t xml:space="preserve">Category 2 centre; Beijing, Shanghai, Suzhou</t>
  </si>
  <si>
    <t xml:space="preserve">Chinese institutional engagement</t>
  </si>
  <si>
    <t xml:space="preserve">Chinese-hosted UNESCO training institute serving other States Parties. Source for training and partnership data.</t>
  </si>
  <si>
    <t xml:space="preserve">https://whitrap.pku.edu.cn/About_us/Introduction_Center.htm</t>
  </si>
  <si>
    <t xml:space="preserve">Document</t>
  </si>
  <si>
    <t xml:space="preserve">Type</t>
  </si>
  <si>
    <t xml:space="preserve">Year</t>
  </si>
  <si>
    <t xml:space="preserve">URL</t>
  </si>
  <si>
    <t xml:space="preserve">Nomination file 1442</t>
  </si>
  <si>
    <t xml:space="preserve">Nomination</t>
  </si>
  <si>
    <t xml:space="preserve">https://whc.unesco.org/uploads/nominations/1442.pdf</t>
  </si>
  <si>
    <t xml:space="preserve">Advisory Body Evaluation (ICOMOS)</t>
  </si>
  <si>
    <t xml:space="preserve">Evaluation</t>
  </si>
  <si>
    <t xml:space="preserve">https://whc.unesco.org/document/152690</t>
  </si>
  <si>
    <t xml:space="preserve">Maps of inscribed property</t>
  </si>
  <si>
    <t xml:space="preserve">Maps</t>
  </si>
  <si>
    <t xml:space="preserve">https://whc.unesco.org/document/132728</t>
  </si>
  <si>
    <t xml:space="preserve">Decision 38COM 8B.24 (inscription)</t>
  </si>
  <si>
    <t xml:space="preserve">Decision</t>
  </si>
  <si>
    <t xml:space="preserve">https://whc.unesco.org/en/decisions/6110</t>
  </si>
  <si>
    <t xml:space="preserve">Decision 40COM 7B.34</t>
  </si>
  <si>
    <t xml:space="preserve">Decision (state of conservation)</t>
  </si>
  <si>
    <t xml:space="preserve">2016</t>
  </si>
  <si>
    <t xml:space="preserve">https://whc.unesco.org/en/decisions/6699</t>
  </si>
  <si>
    <t xml:space="preserve">Decision 41COM 7B.88</t>
  </si>
  <si>
    <t xml:space="preserve">2017</t>
  </si>
  <si>
    <t xml:space="preserve">https://whc.unesco.org/en/decisions/7087</t>
  </si>
  <si>
    <t xml:space="preserve">Decision 42COM 7B.5</t>
  </si>
  <si>
    <t xml:space="preserve">2018</t>
  </si>
  <si>
    <t xml:space="preserve">https://whc.unesco.org/en/decisions/7234</t>
  </si>
  <si>
    <t xml:space="preserve">Decision 44COM 7B.22</t>
  </si>
  <si>
    <t xml:space="preserve">2021</t>
  </si>
  <si>
    <t xml:space="preserve">https://whc.unesco.org/en/decisions/7740</t>
  </si>
  <si>
    <t xml:space="preserve">Decision 45COM 7B.156</t>
  </si>
  <si>
    <t xml:space="preserve">2023</t>
  </si>
  <si>
    <t xml:space="preserve">https://whc.unesco.org/en/decisions/8160</t>
  </si>
  <si>
    <t xml:space="preserve">Decision 47COM 7B.67</t>
  </si>
  <si>
    <t xml:space="preserve">2025</t>
  </si>
  <si>
    <t xml:space="preserve">https://whc.unesco.org/en/decisions/8791</t>
  </si>
  <si>
    <t xml:space="preserve">ICOMOS Advisory Mission Report - Talgar component (Kazakhstan)</t>
  </si>
  <si>
    <t xml:space="preserve">Mission report</t>
  </si>
  <si>
    <t xml:space="preserve">https://whc.unesco.org/document/142401</t>
  </si>
  <si>
    <t xml:space="preserve">Joint WHC/ICOMOS Reactive Monitoring Mission Report (Kazakhstan)</t>
  </si>
  <si>
    <t xml:space="preserve">https://whc.unesco.org/document/158586</t>
  </si>
  <si>
    <t xml:space="preserve">Periodic Reporting Cycle 3, Section II</t>
  </si>
  <si>
    <t xml:space="preserve">Periodic report</t>
  </si>
  <si>
    <t xml:space="preserve">https://whc.unesco.org/document/217919</t>
  </si>
  <si>
    <t xml:space="preserve">State of conservation report (multilingual)</t>
  </si>
  <si>
    <t xml:space="preserve">SOC report</t>
  </si>
  <si>
    <t xml:space="preserve">https://whc.unesco.org/document/218280</t>
  </si>
  <si>
    <t xml:space="preserve">State of conservation report</t>
  </si>
  <si>
    <t xml:space="preserve">https://whc.unesco.org/document/180694</t>
  </si>
  <si>
    <t xml:space="preserve">State of conservation report (Kazakhstan)</t>
  </si>
  <si>
    <t xml:space="preserve">https://whc.unesco.org/document/166338</t>
  </si>
  <si>
    <t xml:space="preserve">https://whc.unesco.org/document/156862</t>
  </si>
  <si>
    <t xml:space="preserve">State of conservation report (China)</t>
  </si>
  <si>
    <t xml:space="preserve">https://whc.unesco.org/document/165239</t>
  </si>
  <si>
    <t xml:space="preserve">https://whc.unesco.org/document/139846</t>
  </si>
  <si>
    <t xml:space="preserve">State of conservation report (Kyrgyzstan)</t>
  </si>
  <si>
    <t xml:space="preserve">https://whc.unesco.org/document/139897</t>
  </si>
  <si>
    <t xml:space="preserve">Summary state of conservation report (China)</t>
  </si>
  <si>
    <t xml:space="preserve">2015</t>
  </si>
  <si>
    <t xml:space="preserve">https://whc.unesco.org/document/139854</t>
  </si>
  <si>
    <t xml:space="preserve">Source</t>
  </si>
  <si>
    <t xml:space="preserve">Access method</t>
  </si>
  <si>
    <t xml:space="preserve">Systematic / structured?</t>
  </si>
  <si>
    <t xml:space="preserve">Notes for the project</t>
  </si>
  <si>
    <t xml:space="preserve">World Heritage List - XML feed (EN)</t>
  </si>
  <si>
    <t xml:space="preserve">https://whc.unesco.org/en/list/xml/</t>
  </si>
  <si>
    <t xml:space="preserve">Bulk download</t>
  </si>
  <si>
    <t xml:space="preserve">Yes: 1,273 properties. Fields: id_number, site, states, iso_code, category, criteria_txt, date_inscribed, secondary_dates, danger, transnational, regions, location, short_description, justification, geolocations (one point per component).</t>
  </si>
  <si>
    <t xml:space="preserve">Best base layer. id_number is a stable key. Short text only: no full OUV statement.</t>
  </si>
  <si>
    <t xml:space="preserve">World Heritage List - XML feed (ZH)</t>
  </si>
  <si>
    <t xml:space="preserve">https://whc.unesco.org/zh/list/xml/</t>
  </si>
  <si>
    <t xml:space="preserve">Yes: same 1,273 records in Chinese.</t>
  </si>
  <si>
    <t xml:space="preserve">Gives UNESCO's own Chinese names and descriptions for comparing framing. Gaps: e.g. 1442 Silk Roads, 1111 Hani Terraces, 1223 Melaka, 1541 Kulangsu have empty Chinese names.</t>
  </si>
  <si>
    <t xml:space="preserve">World Heritage List - XLS/XLSX, KML, GeoRSS, RSS</t>
  </si>
  <si>
    <t xml:space="preserve">https://whc.unesco.org/en/syndication</t>
  </si>
  <si>
    <t xml:space="preserve">Yes.</t>
  </si>
  <si>
    <t xml:space="preserve">XLSX and KML are handy for mapping. Same content as XML.</t>
  </si>
  <si>
    <t xml:space="preserve">Site pages (/en/list/{id}/)</t>
  </si>
  <si>
    <t xml:space="preserve">Web page</t>
  </si>
  <si>
    <t xml:space="preserve">Partly: full Statement of OUV, brief synthesis, criteria text.</t>
  </si>
  <si>
    <t xml:space="preserve">Holds the richer wording (e.g. Chinese communities in Melaka, Hoi An) that the feed lacks. Not syndicated: UNESCO terms say non-syndicated sections may not be scraped. Read manually or ask permission.</t>
  </si>
  <si>
    <t xml:space="preserve">Documents pages (/en/list/{id}/documents/)</t>
  </si>
  <si>
    <t xml:space="preserve">Web page + PDFs</t>
  </si>
  <si>
    <t xml:space="preserve">Yes, per site: nomination file, ICOMOS/IUCN evaluation, decisions, maps, mission, SOC and periodic reports.</t>
  </si>
  <si>
    <t xml:space="preserve">Key for dated framings (nomination vs evaluation vs decisions). PDFs are large (1442 nomination file ~1 GB).</t>
  </si>
  <si>
    <t xml:space="preserve">Tentative Lists (/en/tentativelists/{id}/)</t>
  </si>
  <si>
    <t xml:space="preserve">https://whc.unesco.org/en/statesparties/cn</t>
  </si>
  <si>
    <t xml:space="preserve">Partly: no bulk feed found.</t>
  </si>
  <si>
    <t xml:space="preserve">China has 60 TL entries. Other countries' TL entries mentioning China cannot be searched in bulk without scraping; use manual search or request data.</t>
  </si>
  <si>
    <t xml:space="preserve">Decisions database</t>
  </si>
  <si>
    <t xml:space="preserve">https://whc.unesco.org/en/decisions/</t>
  </si>
  <si>
    <t xml:space="preserve">Searchable by keyword and session.</t>
  </si>
  <si>
    <t xml:space="preserve">Use for UNESCO's official wording over time (e.g. 'Maritime Silk Road' in decisions).</t>
  </si>
  <si>
    <t xml:space="preserve">Intangible Cultural Heritage lists</t>
  </si>
  <si>
    <t xml:space="preserve">Partly: list per state; multinational status only on element pages.</t>
  </si>
  <si>
    <t xml:space="preserve">China: 45 elements. Joint ones found: Ong Chun/Wangchuan/Wangkang (with Malaysia), Urtiin Duu (with Mongolia).</t>
  </si>
  <si>
    <t xml:space="preserve">https://www.unesco.org/en/memory-world</t>
  </si>
  <si>
    <t xml:space="preserve">Partly.</t>
  </si>
  <si>
    <t xml:space="preserve">unesco.org blocked automated fetching (robots.txt). Read manually.</t>
  </si>
  <si>
    <t xml:space="preserve">Wikidata (crosswalk)</t>
  </si>
  <si>
    <t xml:space="preserve">https://www.wikidata.org</t>
  </si>
  <si>
    <t xml:space="preserve">SPARQL API</t>
  </si>
  <si>
    <t xml:space="preserve">Yes: links WH IDs to multilingual names and coordinates.</t>
  </si>
  <si>
    <t xml:space="preserve">Not reachable from this workspace; test in Phase 2.</t>
  </si>
  <si>
    <t xml:space="preserve">Owner type</t>
  </si>
  <si>
    <t xml:space="preserve">URL (example page)</t>
  </si>
  <si>
    <t xml:space="preserve">Coverage (layers, regions)</t>
  </si>
  <si>
    <t xml:space="preserve">Language</t>
  </si>
  <si>
    <t xml:space="preserve">How systematic</t>
  </si>
  <si>
    <t xml:space="preserve">Access method (preliminary, for Phase 2)</t>
  </si>
  <si>
    <t xml:space="preserve">Historical versions</t>
  </si>
  <si>
    <t xml:space="preserve">Framing notes</t>
  </si>
  <si>
    <t xml:space="preserve">Reliability</t>
  </si>
  <si>
    <r>
      <rPr>
        <sz val="10"/>
        <rFont val="Arial"/>
        <family val="0"/>
        <charset val="1"/>
      </rPr>
      <t xml:space="preserve">National Cultural Heritage Administration (</t>
    </r>
    <r>
      <rPr>
        <sz val="10"/>
        <rFont val="Noto Sans CJK SC"/>
        <family val="2"/>
      </rPr>
      <t xml:space="preserve">国家文物局</t>
    </r>
    <r>
      <rPr>
        <sz val="10"/>
        <rFont val="Arial"/>
        <family val="0"/>
        <charset val="1"/>
      </rPr>
      <t xml:space="preserve">, NCHA)</t>
    </r>
  </si>
  <si>
    <t xml:space="preserve">Chinese government (heritage regulator)</t>
  </si>
  <si>
    <t xml:space="preserve">http://www.ncha.gov.cn/</t>
  </si>
  <si>
    <t xml:space="preserve">Institutional engagement (aid restoration, joint archaeology, Asian Cultural Heritage Protection Action, ACHA); UNESCO and nominations (China's own and transnational). Global, with focus on Asia, Silk Roads, Africa.</t>
  </si>
  <si>
    <t xml:space="preserve">Chinese</t>
  </si>
  <si>
    <r>
      <rPr>
        <sz val="10"/>
        <rFont val="Arial"/>
        <family val="0"/>
        <charset val="1"/>
      </rPr>
      <t xml:space="preserve">Semi-structured. No dedicated international column: overseas items are scattered across </t>
    </r>
    <r>
      <rPr>
        <sz val="10"/>
        <rFont val="Noto Sans CJK SC"/>
        <family val="2"/>
      </rPr>
      <t xml:space="preserve">文物要闻</t>
    </r>
    <r>
      <rPr>
        <sz val="10"/>
        <rFont val="Arial"/>
        <family val="0"/>
        <charset val="1"/>
      </rPr>
      <t xml:space="preserve">, </t>
    </r>
    <r>
      <rPr>
        <sz val="10"/>
        <rFont val="Noto Sans CJK SC"/>
        <family val="2"/>
      </rPr>
      <t xml:space="preserve">工作动态 </t>
    </r>
    <r>
      <rPr>
        <sz val="10"/>
        <rFont val="Arial"/>
        <family val="0"/>
        <charset val="1"/>
      </rPr>
      <t xml:space="preserve">and </t>
    </r>
    <r>
      <rPr>
        <sz val="10"/>
        <rFont val="Noto Sans CJK SC"/>
        <family val="2"/>
      </rPr>
      <t xml:space="preserve">政务公开</t>
    </r>
    <r>
      <rPr>
        <sz val="10"/>
        <rFont val="Arial"/>
        <family val="0"/>
        <charset val="1"/>
      </rPr>
      <t xml:space="preserve">. Article URLs are dated (/art/YYYY/M/D/).</t>
    </r>
  </si>
  <si>
    <t xml:space="preserve">Scraping via dated article URLs. Site search (/jsearch/) did not respond to plain URL queries; needs browser automation. Loads from outside China.</t>
  </si>
  <si>
    <t xml:space="preserve">Yes: archive back to at least 2014; five-year plans 2017, 2021, 2026 form a dated series.</t>
  </si>
  <si>
    <r>
      <rPr>
        <sz val="10"/>
        <rFont val="Arial"/>
        <family val="0"/>
        <charset val="1"/>
      </rPr>
      <t xml:space="preserve">Official policy language: </t>
    </r>
    <r>
      <rPr>
        <sz val="10"/>
        <rFont val="Noto Sans CJK SC"/>
        <family val="2"/>
      </rPr>
      <t xml:space="preserve">文明交流互鉴</t>
    </r>
    <r>
      <rPr>
        <sz val="10"/>
        <rFont val="Arial"/>
        <family val="0"/>
        <charset val="1"/>
      </rPr>
      <t xml:space="preserve">, </t>
    </r>
    <r>
      <rPr>
        <sz val="10"/>
        <rFont val="Noto Sans CJK SC"/>
        <family val="2"/>
      </rPr>
      <t xml:space="preserve">一带一路</t>
    </r>
    <r>
      <rPr>
        <sz val="10"/>
        <rFont val="Arial"/>
        <family val="0"/>
        <charset val="1"/>
      </rPr>
      <t xml:space="preserve">, </t>
    </r>
    <r>
      <rPr>
        <sz val="10"/>
        <rFont val="Noto Sans CJK SC"/>
        <family val="2"/>
      </rPr>
      <t xml:space="preserve">服务国家外交大局</t>
    </r>
    <r>
      <rPr>
        <sz val="10"/>
        <rFont val="Arial"/>
        <family val="0"/>
        <charset val="1"/>
      </rPr>
      <t xml:space="preserve">, </t>
    </r>
    <r>
      <rPr>
        <sz val="10"/>
        <rFont val="Noto Sans CJK SC"/>
        <family val="2"/>
      </rPr>
      <t xml:space="preserve">全球文明倡议</t>
    </r>
    <r>
      <rPr>
        <sz val="10"/>
        <rFont val="Arial"/>
        <family val="0"/>
        <charset val="1"/>
      </rPr>
      <t xml:space="preserve">, </t>
    </r>
    <r>
      <rPr>
        <sz val="10"/>
        <rFont val="Noto Sans CJK SC"/>
        <family val="2"/>
      </rPr>
      <t xml:space="preserve">中国智慧和方案</t>
    </r>
    <r>
      <rPr>
        <sz val="10"/>
        <rFont val="Arial"/>
        <family val="0"/>
        <charset val="1"/>
      </rPr>
      <t xml:space="preserve">.</t>
    </r>
  </si>
  <si>
    <t xml:space="preserve">High for what China says and does; not neutral.</t>
  </si>
  <si>
    <r>
      <rPr>
        <sz val="10"/>
        <rFont val="Arial"/>
        <family val="0"/>
        <charset val="1"/>
      </rPr>
      <t xml:space="preserve">NCHA five-year plans (</t>
    </r>
    <r>
      <rPr>
        <sz val="10"/>
        <rFont val="Noto Sans CJK SC"/>
        <family val="2"/>
      </rPr>
      <t xml:space="preserve">十三五 </t>
    </r>
    <r>
      <rPr>
        <sz val="10"/>
        <rFont val="Arial"/>
        <family val="0"/>
        <charset val="1"/>
      </rPr>
      <t xml:space="preserve">2017, </t>
    </r>
    <r>
      <rPr>
        <sz val="10"/>
        <rFont val="Noto Sans CJK SC"/>
        <family val="2"/>
      </rPr>
      <t xml:space="preserve">十四五 </t>
    </r>
    <r>
      <rPr>
        <sz val="10"/>
        <rFont val="Arial"/>
        <family val="0"/>
        <charset val="1"/>
      </rPr>
      <t xml:space="preserve">2021, </t>
    </r>
    <r>
      <rPr>
        <sz val="10"/>
        <rFont val="Noto Sans CJK SC"/>
        <family val="2"/>
      </rPr>
      <t xml:space="preserve">十五五 </t>
    </r>
    <r>
      <rPr>
        <sz val="10"/>
        <rFont val="Arial"/>
        <family val="0"/>
        <charset val="1"/>
      </rPr>
      <t xml:space="preserve">2026)</t>
    </r>
  </si>
  <si>
    <t xml:space="preserve">Chinese government (policy documents)</t>
  </si>
  <si>
    <t xml:space="preserve">http://www.ncha.gov.cn/art/2026/7/29/art_2318_48456.html</t>
  </si>
  <si>
    <t xml:space="preserve">All four layers at policy level: named aid projects, joint nominations (Maritime Silk Road, Tea Road), joint archaeology target regions.</t>
  </si>
  <si>
    <t xml:space="preserve">Highly systematic: same document type every five years, comparable sections.</t>
  </si>
  <si>
    <t xml:space="preserve">Manual (3 documents). 14th plan is hosted on ndrc.gov.cn.</t>
  </si>
  <si>
    <t xml:space="preserve">Yes: 2017, 2021, 2026. Best single source for tracking framing change (Phase 5).</t>
  </si>
  <si>
    <t xml:space="preserve">2017: Maritime Silk Road nomination as domestic work. 2026: 'transnational joint nomination' preparatory work; 'serve the overall diplomatic agenda'.</t>
  </si>
  <si>
    <t xml:space="preserve">High (authoritative statement of intent).</t>
  </si>
  <si>
    <r>
      <rPr>
        <sz val="10"/>
        <rFont val="Arial"/>
        <family val="0"/>
        <charset val="1"/>
      </rPr>
      <t xml:space="preserve">Ministry of Culture and Tourism (</t>
    </r>
    <r>
      <rPr>
        <sz val="10"/>
        <rFont val="Noto Sans CJK SC"/>
        <family val="2"/>
      </rPr>
      <t xml:space="preserve">文化和旅游部</t>
    </r>
    <r>
      <rPr>
        <sz val="10"/>
        <rFont val="Arial"/>
        <family val="0"/>
        <charset val="1"/>
      </rPr>
      <t xml:space="preserve">, MCT)</t>
    </r>
  </si>
  <si>
    <t xml:space="preserve">Chinese government (culture ministry)</t>
  </si>
  <si>
    <t xml:space="preserve">https://www.mct.gov.cn/</t>
  </si>
  <si>
    <t xml:space="preserve">Intangible heritage policy and UNESCO ICH nominations (incl. joint China-Malaysia element); cultural exchange; China Cultural Centres abroad.</t>
  </si>
  <si>
    <t xml:space="preserve">Chinese (some English)</t>
  </si>
  <si>
    <t xml:space="preserve">Semi-structured news and policy columns; plans issued as PDF attachments.</t>
  </si>
  <si>
    <t xml:space="preserve">Scraping of news pages; PDFs for plans (ICH 15th five-year plan issued 2026-09-21 as PDF, not yet read).</t>
  </si>
  <si>
    <t xml:space="preserve">Yes: news archive; five-year ICH plans.</t>
  </si>
  <si>
    <t xml:space="preserve">Not yet sampled in depth.</t>
  </si>
  <si>
    <t xml:space="preserve">High for official position.</t>
  </si>
  <si>
    <r>
      <rPr>
        <sz val="10"/>
        <rFont val="Arial"/>
        <family val="0"/>
        <charset val="1"/>
      </rPr>
      <t xml:space="preserve">China Intangible Cultural Heritage Network (</t>
    </r>
    <r>
      <rPr>
        <sz val="10"/>
        <rFont val="Noto Sans CJK SC"/>
        <family val="2"/>
      </rPr>
      <t xml:space="preserve">中国非物质文化遗产网</t>
    </r>
    <r>
      <rPr>
        <sz val="10"/>
        <rFont val="Arial"/>
        <family val="0"/>
        <charset val="1"/>
      </rPr>
      <t xml:space="preserve">, ihchina.cn)</t>
    </r>
  </si>
  <si>
    <t xml:space="preserve">Chinese government-affiliated (run by China ICH Protection Center under MCT)</t>
  </si>
  <si>
    <t xml:space="preserve">https://www.ihchina.cn/project.html</t>
  </si>
  <si>
    <t xml:space="preserve">National ICH list: 3,610 items; 45 UNESCO-inscribed items. Descriptions often mention overseas Chinese, Southeast Asia, Taiwan.</t>
  </si>
  <si>
    <t xml:space="preserve">Highly structured: item ID, number (e.g. Ⅹ-85), title, category, new/extension, year and batch, province/city code, description.</t>
  </si>
  <si>
    <t xml:space="preserve">Open JSON endpoint: /getProject.html?keywords=...&amp;category_id=16&amp;limit=10&amp;p=1 (tested; returns JSON).</t>
  </si>
  <si>
    <t xml:space="preserve">Partial: listing year and batch per item; descriptions not dated.</t>
  </si>
  <si>
    <r>
      <rPr>
        <sz val="10"/>
        <rFont val="Arial"/>
        <family val="0"/>
        <charset val="1"/>
      </rPr>
      <t xml:space="preserve">Diaspora framing: Nanyin as 'spiritual bond' for overseas compatriots and Taiwan compatriots; Mazu spread 'following the footsteps of overseas Chinese'. National title </t>
    </r>
    <r>
      <rPr>
        <sz val="10"/>
        <rFont val="Noto Sans CJK SC"/>
        <family val="2"/>
      </rPr>
      <t xml:space="preserve">闽台送王船 </t>
    </r>
    <r>
      <rPr>
        <sz val="10"/>
        <rFont val="Arial"/>
        <family val="0"/>
        <charset val="1"/>
      </rPr>
      <t xml:space="preserve">(Fujian-Taiwan) vs UNESCO's China + Malaysia.</t>
    </r>
  </si>
  <si>
    <t xml:space="preserve">High for official framing.</t>
  </si>
  <si>
    <t xml:space="preserve">Chinese embassy websites (e.g. Cambodia, Malaysia, Kenya, Uzbekistan)</t>
  </si>
  <si>
    <t xml:space="preserve">Chinese government (diplomatic)</t>
  </si>
  <si>
    <t xml:space="preserve">https://kh.china-embassy.gov.cn/</t>
  </si>
  <si>
    <r>
      <rPr>
        <sz val="10"/>
        <rFont val="Arial"/>
        <family val="0"/>
        <charset val="1"/>
      </rPr>
      <t xml:space="preserve">Institutional engagement and narrative layers per host country: heritage exhibitions, restoration projects, ambassador essays on shared history, overseas-Chinese affairs (</t>
    </r>
    <r>
      <rPr>
        <sz val="10"/>
        <rFont val="Noto Sans CJK SC"/>
        <family val="2"/>
      </rPr>
      <t xml:space="preserve">领侨动态</t>
    </r>
    <r>
      <rPr>
        <sz val="10"/>
        <rFont val="Arial"/>
        <family val="0"/>
        <charset val="1"/>
      </rPr>
      <t xml:space="preserve">).</t>
    </r>
  </si>
  <si>
    <t xml:space="preserve">Chinese (most also English)</t>
  </si>
  <si>
    <t xml:space="preserve">Semi-structured. Common Foreign Ministry template on every *.china-embassy.gov.cn site; dated URLs (/column/YYYYMM/tYYYYMMDD_id.htm). Some list pages render by script.</t>
  </si>
  <si>
    <t xml:space="preserve">Scraping by dated URL pattern; search runs through a central Foreign Ministry engine (fmprc.gov.cn/irs-c-web/search.shtml) filterable by site. Some old URLs (pre-2013) now redirect to the homepage: use the Wayback Machine.</t>
  </si>
  <si>
    <t xml:space="preserve">Yes: Kenya archive back to 2005, Malaysia to 2012 in samples.</t>
  </si>
  <si>
    <r>
      <rPr>
        <sz val="10"/>
        <rFont val="Arial"/>
        <family val="0"/>
        <charset val="1"/>
      </rPr>
      <t xml:space="preserve">Heavy framing: 'civilisations learning from each other' (</t>
    </r>
    <r>
      <rPr>
        <sz val="10"/>
        <rFont val="Noto Sans CJK SC"/>
        <family val="2"/>
      </rPr>
      <t xml:space="preserve">互学互鉴</t>
    </r>
    <r>
      <rPr>
        <sz val="10"/>
        <rFont val="Arial"/>
        <family val="0"/>
        <charset val="1"/>
      </rPr>
      <t xml:space="preserve">), Zheng He as friendship, 'Silk Road spirit', 'community with a shared future'.</t>
    </r>
  </si>
  <si>
    <t xml:space="preserve">High for official narrative; low for facts on sites.</t>
  </si>
  <si>
    <r>
      <rPr>
        <sz val="10"/>
        <rFont val="Arial"/>
        <family val="0"/>
        <charset val="1"/>
      </rPr>
      <t xml:space="preserve">Chinese Academy of Cultural Heritage (</t>
    </r>
    <r>
      <rPr>
        <sz val="10"/>
        <rFont val="Noto Sans CJK SC"/>
        <family val="2"/>
      </rPr>
      <t xml:space="preserve">中国文化遗产研究院</t>
    </r>
    <r>
      <rPr>
        <sz val="10"/>
        <rFont val="Arial"/>
        <family val="0"/>
        <charset val="1"/>
      </rPr>
      <t xml:space="preserve">, CACH)</t>
    </r>
  </si>
  <si>
    <t xml:space="preserve">Chinese government research institute (under NCHA)</t>
  </si>
  <si>
    <t xml:space="preserve">https://www.chinanews.com.cn/gj/2022/08-29/9839659.shtml</t>
  </si>
  <si>
    <t xml:space="preserve">Institutional engagement: lead agency for aid restoration (Angkor Chau Say Tevoda 1998, Ta Keo 2010, Royal Palace 2018).</t>
  </si>
  <si>
    <t xml:space="preserve">Own site not yet tested; project information mostly via NCHA and media interviews.</t>
  </si>
  <si>
    <t xml:space="preserve">To test in Phase 2.</t>
  </si>
  <si>
    <t xml:space="preserve">Yes: project history since 1990s.</t>
  </si>
  <si>
    <t xml:space="preserve">Frames Angkor work as China being among the earliest participants in UNESCO's international safeguarding campaign.</t>
  </si>
  <si>
    <t xml:space="preserve">High.</t>
  </si>
  <si>
    <r>
      <rPr>
        <sz val="10"/>
        <rFont val="Arial"/>
        <family val="0"/>
        <charset val="1"/>
      </rPr>
      <t xml:space="preserve">CASS Institute of Archaeology (</t>
    </r>
    <r>
      <rPr>
        <sz val="10"/>
        <rFont val="Noto Sans CJK SC"/>
        <family val="2"/>
      </rPr>
      <t xml:space="preserve">中国社会科学院考古研究所</t>
    </r>
    <r>
      <rPr>
        <sz val="10"/>
        <rFont val="Arial"/>
        <family val="0"/>
        <charset val="1"/>
      </rPr>
      <t xml:space="preserve">) and cssn.cn</t>
    </r>
  </si>
  <si>
    <t xml:space="preserve">Chinese state research institute</t>
  </si>
  <si>
    <t xml:space="preserve">https://www.cssn.cn/skgz/bwyc/202605/t20260522_5992725.shtml</t>
  </si>
  <si>
    <r>
      <rPr>
        <sz val="10"/>
        <rFont val="Arial"/>
        <family val="0"/>
        <charset val="1"/>
      </rPr>
      <t xml:space="preserve">Joint archaeology abroad: Uzbekistan (2012-), Honduras Copan (2015-), Egypt Monthu Temple (2018-), Romania (2019-), Greece (2026). 2026 catalogue </t>
    </r>
    <r>
      <rPr>
        <sz val="10"/>
        <rFont val="Noto Sans CJK SC"/>
        <family val="2"/>
      </rPr>
      <t xml:space="preserve">《大道东风》 </t>
    </r>
    <r>
      <rPr>
        <sz val="10"/>
        <rFont val="Arial"/>
        <family val="0"/>
        <charset val="1"/>
      </rPr>
      <t xml:space="preserve">of overseas results.</t>
    </r>
  </si>
  <si>
    <t xml:space="preserve">Semi-structured: news and features on cssn.cn; excavation reports as books.</t>
  </si>
  <si>
    <t xml:space="preserve">Scraping of cssn.cn articles; reports need library access.</t>
  </si>
  <si>
    <t xml:space="preserve">Yes: projects dated from 2012.</t>
  </si>
  <si>
    <r>
      <rPr>
        <sz val="10"/>
        <rFont val="Arial"/>
        <family val="0"/>
        <charset val="1"/>
      </rPr>
      <t xml:space="preserve">'Independent knowledge system' (</t>
    </r>
    <r>
      <rPr>
        <sz val="10"/>
        <rFont val="Noto Sans CJK SC"/>
        <family val="2"/>
      </rPr>
      <t xml:space="preserve">自主知识体系</t>
    </r>
    <r>
      <rPr>
        <sz val="10"/>
        <rFont val="Arial"/>
        <family val="0"/>
        <charset val="1"/>
      </rPr>
      <t xml:space="preserve">); from 'archaeological power' to 'archaeological strength'.</t>
    </r>
  </si>
  <si>
    <t xml:space="preserve">High for project facts.</t>
  </si>
  <si>
    <t xml:space="preserve">Provincial and university archaeology teams (e.g. Shaanxi Institute of Archaeology, Northwest University, Peking University)</t>
  </si>
  <si>
    <t xml:space="preserve">Chinese research institutes / universities</t>
  </si>
  <si>
    <t xml:space="preserve">https://www.chinanews.com.cn/sh/2026/09-24/10703295.shtml</t>
  </si>
  <si>
    <t xml:space="preserve">Joint archaeology in Central Asia (Kyrgyzstan Red River site, Shaanxi) and East Africa (Kenya Lamu/Malindi, Peking University, c. 2010-2013).</t>
  </si>
  <si>
    <t xml:space="preserve">Chinese, some English</t>
  </si>
  <si>
    <t xml:space="preserve">Scattered: press releases, university news, academic papers.</t>
  </si>
  <si>
    <t xml:space="preserve">Manual; media search.</t>
  </si>
  <si>
    <t xml:space="preserve">Yes, via news archives.</t>
  </si>
  <si>
    <t xml:space="preserve">Kenya work framed around Zheng He's voyages and 'rewriting East African coast history'.</t>
  </si>
  <si>
    <t xml:space="preserve">Medium-high.</t>
  </si>
  <si>
    <r>
      <rPr>
        <sz val="10"/>
        <rFont val="Arial"/>
        <family val="0"/>
        <charset val="1"/>
      </rPr>
      <t xml:space="preserve">Alliance for Cultural Heritage in Asia (</t>
    </r>
    <r>
      <rPr>
        <sz val="10"/>
        <rFont val="Noto Sans CJK SC"/>
        <family val="2"/>
      </rPr>
      <t xml:space="preserve">亚洲文化遗产保护联盟</t>
    </r>
    <r>
      <rPr>
        <sz val="10"/>
        <rFont val="Arial"/>
        <family val="0"/>
        <charset val="1"/>
      </rPr>
      <t xml:space="preserve">, ACHA)</t>
    </r>
  </si>
  <si>
    <t xml:space="preserve">China-led multilateral body</t>
  </si>
  <si>
    <t xml:space="preserve">https://english.www.gov.cn/news/202304/25/content_WS6447673dc6d03ffcca6ec9ee.html</t>
  </si>
  <si>
    <t xml:space="preserve">Institutional engagement across Asia: 10 founding states (China, Armenia, Cambodia, DPRK, Iran, Kyrgyzstan, Pakistan, Syria, UAE, Yemen); roadmap includes Silk Roads archaeology, World Heritage nominations, restoration in Türkiye and Syria. NCHA's 2026 plan adds an 'Asian cultural heritage database'.</t>
  </si>
  <si>
    <t xml:space="preserve">Chinese, English</t>
  </si>
  <si>
    <t xml:space="preserve">No dedicated website found; information via NCHA and state media.</t>
  </si>
  <si>
    <t xml:space="preserve">Manual.</t>
  </si>
  <si>
    <t xml:space="preserve">From 2021 (dialogue) and 2023 (Xi'an conference).</t>
  </si>
  <si>
    <t xml:space="preserve">'Dialogue among civilizations'; Global Civilization Initiative.</t>
  </si>
  <si>
    <t xml:space="preserve">High for membership and plans.</t>
  </si>
  <si>
    <r>
      <rPr>
        <sz val="10"/>
        <rFont val="Arial"/>
        <family val="0"/>
        <charset val="1"/>
      </rPr>
      <t xml:space="preserve">Belt and Road portal (</t>
    </r>
    <r>
      <rPr>
        <sz val="10"/>
        <rFont val="Noto Sans CJK SC"/>
        <family val="2"/>
      </rPr>
      <t xml:space="preserve">中国一带一路网</t>
    </r>
    <r>
      <rPr>
        <sz val="10"/>
        <rFont val="Arial"/>
        <family val="0"/>
        <charset val="1"/>
      </rPr>
      <t xml:space="preserve">, yidaiyilu.gov.cn)</t>
    </r>
  </si>
  <si>
    <t xml:space="preserve">Chinese government (aggregator)</t>
  </si>
  <si>
    <t xml:space="preserve">https://www.yidaiyilu.gov.cn/</t>
  </si>
  <si>
    <t xml:space="preserve">Aggregates heritage and archaeology news framed under Belt and Road.</t>
  </si>
  <si>
    <t xml:space="preserve">Semi-structured news aggregator.</t>
  </si>
  <si>
    <t xml:space="preserve">Scraping; not yet tested.</t>
  </si>
  <si>
    <t xml:space="preserve">Yes, since 2017.</t>
  </si>
  <si>
    <t xml:space="preserve">Belt and Road framing by definition.</t>
  </si>
  <si>
    <t xml:space="preserve">Medium (secondary, republished).</t>
  </si>
  <si>
    <t xml:space="preserve">Overseas-Chinese institutions (Overseas Chinese History Museum of China; Jinan University Academy of Overseas Chinese Studies; China Federation of Returned Overseas Chinese)</t>
  </si>
  <si>
    <t xml:space="preserve">Chinese state museum / university / mass organisation</t>
  </si>
  <si>
    <t xml:space="preserve">https://hqhryj.jnu.edu.cn/5535/list.htm</t>
  </si>
  <si>
    <t xml:space="preserve">Historical Chinese presence layer: diaspora history, qiaopi, associations, temples abroad.</t>
  </si>
  <si>
    <r>
      <rPr>
        <sz val="10"/>
        <rFont val="Arial"/>
        <family val="0"/>
        <charset val="1"/>
      </rPr>
      <t xml:space="preserve">Weakly structured online. Jinan has a documentation centre and journals (</t>
    </r>
    <r>
      <rPr>
        <sz val="10"/>
        <rFont val="Noto Sans CJK SC"/>
        <family val="2"/>
      </rPr>
      <t xml:space="preserve">《东南亚研究》</t>
    </r>
    <r>
      <rPr>
        <sz val="10"/>
        <rFont val="Arial"/>
        <family val="0"/>
        <charset val="1"/>
      </rPr>
      <t xml:space="preserve">, </t>
    </r>
    <r>
      <rPr>
        <sz val="10"/>
        <rFont val="Noto Sans CJK SC"/>
        <family val="2"/>
      </rPr>
      <t xml:space="preserve">《海外华人研究》</t>
    </r>
    <r>
      <rPr>
        <sz val="10"/>
        <rFont val="Arial"/>
        <family val="0"/>
        <charset val="1"/>
      </rPr>
      <t xml:space="preserve">) but no open database found.</t>
    </r>
  </si>
  <si>
    <t xml:space="preserve">Manual; library access.</t>
  </si>
  <si>
    <t xml:space="preserve">Journal archives.</t>
  </si>
  <si>
    <t xml:space="preserve">Not yet sampled.</t>
  </si>
  <si>
    <t xml:space="preserve">Medium-high (scholarly).</t>
  </si>
  <si>
    <r>
      <rPr>
        <sz val="10"/>
        <rFont val="Arial"/>
        <family val="0"/>
        <charset val="1"/>
      </rPr>
      <t xml:space="preserve">CNKI (</t>
    </r>
    <r>
      <rPr>
        <sz val="10"/>
        <rFont val="Noto Sans CJK SC"/>
        <family val="2"/>
      </rPr>
      <t xml:space="preserve">中国知网</t>
    </r>
    <r>
      <rPr>
        <sz val="10"/>
        <rFont val="Arial"/>
        <family val="0"/>
        <charset val="1"/>
      </rPr>
      <t xml:space="preserve">) academic literature</t>
    </r>
  </si>
  <si>
    <t xml:space="preserve">Commercial database (Chinese scholarship)</t>
  </si>
  <si>
    <t xml:space="preserve">https://www.cnki.net/</t>
  </si>
  <si>
    <t xml:space="preserve">Chinese academic writing on overseas heritage, Maritime Silk Road, joint archaeology; useful for dating when terms emerge.</t>
  </si>
  <si>
    <t xml:space="preserve">Highly structured bibliographic records with dates.</t>
  </si>
  <si>
    <t xml:space="preserve">Subscription: check Columbia library access.</t>
  </si>
  <si>
    <t xml:space="preserve">Yes: decades of dated records.</t>
  </si>
  <si>
    <r>
      <rPr>
        <sz val="10"/>
        <rFont val="Arial"/>
        <family val="0"/>
        <charset val="1"/>
      </rPr>
      <t xml:space="preserve">Good for counting term frequency over time (e.g. </t>
    </r>
    <r>
      <rPr>
        <sz val="10"/>
        <rFont val="Noto Sans CJK SC"/>
        <family val="2"/>
      </rPr>
      <t xml:space="preserve">海上丝绸之路 </t>
    </r>
    <r>
      <rPr>
        <sz val="10"/>
        <rFont val="Arial"/>
        <family val="0"/>
        <charset val="1"/>
      </rPr>
      <t xml:space="preserve">since the 1980s).</t>
    </r>
  </si>
  <si>
    <t xml:space="preserve">High as a record of discourse.</t>
  </si>
  <si>
    <t xml:space="preserve">Date</t>
  </si>
  <si>
    <t xml:space="preserve">Actor</t>
  </si>
  <si>
    <t xml:space="preserve">Actor type</t>
  </si>
  <si>
    <t xml:space="preserve">Topic / site</t>
  </si>
  <si>
    <t xml:space="preserve">Original wording (verbatim)</t>
  </si>
  <si>
    <t xml:space="preserve">English gloss (my translation)</t>
  </si>
  <si>
    <t xml:space="preserve">Framing tags (my coding)</t>
  </si>
  <si>
    <t xml:space="preserve">2017-02-21</t>
  </si>
  <si>
    <t xml:space="preserve">NCHA (13th five-year plan)</t>
  </si>
  <si>
    <t xml:space="preserve">Government</t>
  </si>
  <si>
    <t xml:space="preserve">Maritime Silk Road nomination</t>
  </si>
  <si>
    <r>
      <rPr>
        <sz val="10"/>
        <rFont val="Noto Sans CJK SC"/>
        <family val="2"/>
      </rPr>
      <t xml:space="preserve">推进花山岩画文化景观、鼓浪屿</t>
    </r>
    <r>
      <rPr>
        <sz val="10"/>
        <rFont val="Arial"/>
        <family val="0"/>
        <charset val="1"/>
      </rPr>
      <t xml:space="preserve">·</t>
    </r>
    <r>
      <rPr>
        <sz val="10"/>
        <rFont val="Noto Sans CJK SC"/>
        <family val="2"/>
      </rPr>
      <t xml:space="preserve">历史国际社区、古泉州（刺桐）史迹、良渚遗址、海上丝绸之路保护与申遗工作，推动陆上丝绸之路其他廊道申遗。</t>
    </r>
  </si>
  <si>
    <t xml:space="preserve">Advance protection and nomination of ... Ancient Quanzhou (Zayton), Liangzhu, the Maritime Silk Road; push nomination of other land Silk Road corridors.</t>
  </si>
  <si>
    <t xml:space="preserve">Maritime Silk Road; nomination (domestic)</t>
  </si>
  <si>
    <t xml:space="preserve">http://www.ncha.gov.cn/art/2017/2/27/art_2237_43663.html</t>
  </si>
  <si>
    <t xml:space="preserve">Belt and Road heritage corridor</t>
  </si>
  <si>
    <t xml:space="preserve">增进与“一带一路”沿线国家及文化遗产国际组织的交流合作，建设“一带一路”文化遗产长廊。</t>
  </si>
  <si>
    <t xml:space="preserve">Increase exchange with Belt and Road countries and international heritage bodies; build a 'Belt and Road cultural heritage corridor'.</t>
  </si>
  <si>
    <t xml:space="preserve">Belt and Road</t>
  </si>
  <si>
    <t xml:space="preserve">2021-12-01</t>
  </si>
  <si>
    <t xml:space="preserve">NCHA (14th five-year plan)</t>
  </si>
  <si>
    <t xml:space="preserve">Aid restoration: Angkor, Nepal, Myanmar</t>
  </si>
  <si>
    <t xml:space="preserve">推进柬埔寨吴哥古迹、尼泊尔九层神庙、缅甸他冰瑜佛塔等文物保护修复合作项目，持续开展中外联合考古。</t>
  </si>
  <si>
    <t xml:space="preserve">Advance restoration cooperation at Angkor (Cambodia), the Nine-Storey Temple (Nepal) and Thatbyinnyu Temple (Myanmar); continue joint archaeology.</t>
  </si>
  <si>
    <t xml:space="preserve">Aid restoration; Belt and Road</t>
  </si>
  <si>
    <t xml:space="preserve">https://www.ndrc.gov.cn/fggz/fzzlgh/gjjzxgh/202112/t20211201_1306596.html</t>
  </si>
  <si>
    <t xml:space="preserve">2021-10-25</t>
  </si>
  <si>
    <t xml:space="preserve">NCHA (Asian Cultural Heritage Protection Action series)</t>
  </si>
  <si>
    <t xml:space="preserve">China-Cambodia history</t>
  </si>
  <si>
    <t xml:space="preserve">新的世纪，官方合作再次恢复，朝着构建人类命运共同体的新目标前进。</t>
  </si>
  <si>
    <t xml:space="preserve">In the new century, official cooperation has resumed, moving toward the new goal of building a community with a shared future for mankind.</t>
  </si>
  <si>
    <t xml:space="preserve">Shared history; community of shared future</t>
  </si>
  <si>
    <t xml:space="preserve">http://www.ncha.gov.cn/art/2021/10/25/art_722_171543.html</t>
  </si>
  <si>
    <t xml:space="preserve">2022-02-18</t>
  </si>
  <si>
    <t xml:space="preserve">NCHA news feature</t>
  </si>
  <si>
    <t xml:space="preserve">Aid restoration history (from Mongolia 1961 to Angkor)</t>
  </si>
  <si>
    <t xml:space="preserve">中国文物保护工作者持续为国际濒危文化遗产保护提供中国智慧和方案，让受损的不同文明的代表性建筑焕发光彩。</t>
  </si>
  <si>
    <t xml:space="preserve">Chinese heritage professionals keep providing 'Chinese wisdom and solutions' for endangered heritage worldwide, restoring landmark buildings of different civilisations.</t>
  </si>
  <si>
    <t xml:space="preserve">Chinese wisdom and solutions</t>
  </si>
  <si>
    <t xml:space="preserve">http://www.ncha.gov.cn/art/2022/2/18/art_722_173029.html</t>
  </si>
  <si>
    <t xml:space="preserve">2026-07-20</t>
  </si>
  <si>
    <t xml:space="preserve">NCHA (15th five-year plan)</t>
  </si>
  <si>
    <t xml:space="preserve">Transnational joint nominations</t>
  </si>
  <si>
    <t xml:space="preserve">规范跨省域联合申遗项目管理，持续推进海上丝绸之路、万里茶道、中埃水文遗产保护与跨国联合申遗前期工作。</t>
  </si>
  <si>
    <t xml:space="preserve">Continue preparatory work for protection and transnational joint nomination of the Maritime Silk Road, the Tea Road, and China-Egypt hydrological heritage.</t>
  </si>
  <si>
    <t xml:space="preserve">Maritime Silk Road; nomination (transnational)</t>
  </si>
  <si>
    <t xml:space="preserve">Heritage diplomacy</t>
  </si>
  <si>
    <t xml:space="preserve">拓展文物交流合作服务国家外交大局，立足文物资源优势，强化机制建设和项目带动，促进文明交流互鉴。</t>
  </si>
  <si>
    <t xml:space="preserve">Expand heritage exchange to serve the country's overall diplomatic agenda ... promote exchange and mutual learning among civilisations.</t>
  </si>
  <si>
    <t xml:space="preserve">Diplomacy; civilisational exchange</t>
  </si>
  <si>
    <t xml:space="preserve">健全文物援外机制，推进柬埔寨吴哥古迹、尼泊尔努瓦科特杜巴广场王宫、缅甸他冰瑜佛塔等文物古迹保护合作。</t>
  </si>
  <si>
    <t xml:space="preserve">Improve the heritage-aid mechanism; advance cooperation at Angkor, the Nuwakot Durbar Square palace (Nepal) and Thatbyinnyu Temple (Myanmar).</t>
  </si>
  <si>
    <t xml:space="preserve">Aid restoration</t>
  </si>
  <si>
    <t xml:space="preserve">Joint archaeology target regions</t>
  </si>
  <si>
    <r>
      <rPr>
        <sz val="10"/>
        <rFont val="Noto Sans CJK SC"/>
        <family val="2"/>
      </rPr>
      <t xml:space="preserve">开展南岛语族主要分布地区、环喜马拉雅地区、丝绸之路和海上丝绸之路沿线地区等联合考古，培育</t>
    </r>
    <r>
      <rPr>
        <sz val="10"/>
        <rFont val="Arial"/>
        <family val="0"/>
        <charset val="1"/>
      </rPr>
      <t xml:space="preserve">5—10</t>
    </r>
    <r>
      <rPr>
        <sz val="10"/>
        <rFont val="Noto Sans CJK SC"/>
        <family val="2"/>
      </rPr>
      <t xml:space="preserve">个示范项目。</t>
    </r>
  </si>
  <si>
    <t xml:space="preserve">Carry out joint archaeology in Austronesian areas, the Himalayas, and along the Silk Roads and Maritime Silk Road; develop 5-10 demonstration projects.</t>
  </si>
  <si>
    <t xml:space="preserve">Joint archaeology; Silk Roads; Maritime Silk Road</t>
  </si>
  <si>
    <t xml:space="preserve">Asian heritage database</t>
  </si>
  <si>
    <t xml:space="preserve">推动制定亚洲文化遗产保护准则与技术规范，建立亚洲文化遗产数据库与联合实验室。</t>
  </si>
  <si>
    <t xml:space="preserve">Promote Asian heritage conservation standards; build an Asian cultural heritage database and joint laboratories.</t>
  </si>
  <si>
    <t xml:space="preserve">Standards; data (possible future source)</t>
  </si>
  <si>
    <t xml:space="preserve">2026-09-24</t>
  </si>
  <si>
    <t xml:space="preserve">NCHA (joint archaeology results release)</t>
  </si>
  <si>
    <t xml:space="preserve">Egypt, Tunisia, Kyrgyzstan joint projects</t>
  </si>
  <si>
    <t xml:space="preserve">深入践行全球文明倡议，不断完善中外联合考古工作管理制度，积极支持中国考古机构、专家学者“走出去”。</t>
  </si>
  <si>
    <t xml:space="preserve">Put the Global Civilization Initiative into practice ... actively support Chinese archaeological institutions and scholars to 'go global'.</t>
  </si>
  <si>
    <t xml:space="preserve">Global Civilization Initiative; going global</t>
  </si>
  <si>
    <t xml:space="preserve">2026-05-22</t>
  </si>
  <si>
    <t xml:space="preserve">CASS (cssn.cn feature)</t>
  </si>
  <si>
    <t xml:space="preserve">Research institute</t>
  </si>
  <si>
    <t xml:space="preserve">Overseas archaeology programme</t>
  </si>
  <si>
    <t xml:space="preserve">中国考古不仅在走向世界，更在以自主知识体系深度介入不同文明的交流互鉴。</t>
  </si>
  <si>
    <t xml:space="preserve">Chinese archaeology is not only going global but engaging deeply in exchange between civilisations through its own independent knowledge system.</t>
  </si>
  <si>
    <t xml:space="preserve">Independent knowledge system</t>
  </si>
  <si>
    <t xml:space="preserve">2026-09-08</t>
  </si>
  <si>
    <t xml:space="preserve">Chinese Embassy in Cambodia (Amb. Wang Wenbin)</t>
  </si>
  <si>
    <t xml:space="preserve">Embassy</t>
  </si>
  <si>
    <t xml:space="preserve">China-Cambodia heritage exhibition; Angkor</t>
  </si>
  <si>
    <t xml:space="preserve">中华文明与高棉文明互学互鉴，相映生辉，谱写了世界文明美美与共的佳话。</t>
  </si>
  <si>
    <t xml:space="preserve">Chinese and Khmer civilisations have learned from each other and shone together, a model story of world civilisations' shared beauty.</t>
  </si>
  <si>
    <t xml:space="preserve">Civilisational exchange</t>
  </si>
  <si>
    <t xml:space="preserve">https://kh.china-embassy.gov.cn/dssghd/202609/t20260908_12018158.htm</t>
  </si>
  <si>
    <t xml:space="preserve">2016-10-28</t>
  </si>
  <si>
    <t xml:space="preserve">Chinese Embassy in Malaysia (ambassador's essay)</t>
  </si>
  <si>
    <t xml:space="preserve">Melaka; Zheng He</t>
  </si>
  <si>
    <r>
      <rPr>
        <sz val="10"/>
        <rFont val="Noto Sans CJK SC"/>
        <family val="2"/>
      </rPr>
      <t xml:space="preserve">明朝郑和七下西洋，其中</t>
    </r>
    <r>
      <rPr>
        <sz val="10"/>
        <rFont val="Arial"/>
        <family val="0"/>
        <charset val="1"/>
      </rPr>
      <t xml:space="preserve">5</t>
    </r>
    <r>
      <rPr>
        <sz val="10"/>
        <rFont val="Noto Sans CJK SC"/>
        <family val="2"/>
      </rPr>
      <t xml:space="preserve">次驻节马六甲，在加深两国人民友谊的同时，更有力维护了周边地区近百年的和平与繁荣。</t>
    </r>
  </si>
  <si>
    <t xml:space="preserve">Zheng He's seven voyages included five stays in Melaka, deepening friendship and maintaining nearly a century of regional peace and prosperity.</t>
  </si>
  <si>
    <t xml:space="preserve">Zheng He; peace narrative; Maritime Silk Road</t>
  </si>
  <si>
    <t xml:space="preserve">https://my.china-embassy.gov.cn/sgxx/dsjh/201611/t20161105_1790289.htm</t>
  </si>
  <si>
    <t xml:space="preserve">Chinese community in Malaysia</t>
  </si>
  <si>
    <t xml:space="preserve">近代以来，大批华人南下定居马来西亚，经世代交替，始终与当地人民和谐相处、共存共荣，华人文化传统已与马来西亚历史发展进程深深融合。</t>
  </si>
  <si>
    <t xml:space="preserve">Large numbers of Chinese settled in Malaysia in modern times ... Chinese cultural traditions have deeply merged with Malaysia's historical development.</t>
  </si>
  <si>
    <t xml:space="preserve">Diaspora; integration</t>
  </si>
  <si>
    <t xml:space="preserve">2024-02-23</t>
  </si>
  <si>
    <t xml:space="preserve">Chinese Embassy in Kenya (Amb. Zhou Pingjian)</t>
  </si>
  <si>
    <t xml:space="preserve">Lamu, Malindi, Mombasa; Zheng He</t>
  </si>
  <si>
    <t xml:space="preserve">肯尼亚是中华文明与非洲文明最早交汇地之一，拉穆、马林迪、蒙巴萨等滨海地区至今流传着郑和船队的友好佳话。</t>
  </si>
  <si>
    <t xml:space="preserve">Kenya is one of the earliest meeting places of Chinese and African civilisations; coastal Lamu, Malindi and Mombasa still tell stories of Zheng He's fleet.</t>
  </si>
  <si>
    <t xml:space="preserve">Zheng He; Silk Road spirit</t>
  </si>
  <si>
    <t xml:space="preserve">https://ke.china-embassy.gov.cn/sgxx/dszs_145423/202402/t20240223_11249135.htm</t>
  </si>
  <si>
    <t xml:space="preserve">2006 (listed)</t>
  </si>
  <si>
    <t xml:space="preserve">ihchina national ICH list: Nanyin (Quanzhou)</t>
  </si>
  <si>
    <t xml:space="preserve">Government-affiliated database</t>
  </si>
  <si>
    <t xml:space="preserve">Nanyin in Southeast Asia</t>
  </si>
  <si>
    <t xml:space="preserve">泉州南音还流播到菲律宾、印尼、新加坡、马来西亚、泰国、缅甸、越南等国家，成为维系海外侨胞和台湾同胞乡情的精神纽带，对增进民族认同感也起到了积极作用。</t>
  </si>
  <si>
    <t xml:space="preserve">Nanyin spread to the Philippines, Indonesia, Singapore, Malaysia, Thailand, Myanmar and Vietnam, becoming a spiritual bond for overseas compatriots and Taiwan compatriots, and strengthening national identity.</t>
  </si>
  <si>
    <t xml:space="preserve">Diaspora; national identity</t>
  </si>
  <si>
    <t xml:space="preserve">ihchina national ICH list: Mazu rituals (Putian)</t>
  </si>
  <si>
    <t xml:space="preserve">Mazu temples worldwide</t>
  </si>
  <si>
    <t xml:space="preserve">妈祖文化逐步传播至我国的沿江、沿海和台港澳地区，并随着华侨华人的脚印逐步传播到世界上的五大洲二十多个国家。</t>
  </si>
  <si>
    <t xml:space="preserve">Mazu culture spread along China's rivers and coasts and to Taiwan, Hong Kong and Macao, and followed the footsteps of overseas Chinese to over 20 countries on five continents.</t>
  </si>
  <si>
    <t xml:space="preserve">2011 (listed)</t>
  </si>
  <si>
    <t xml:space="preserve">ihchina national ICH list: Mazu rituals (Dongtou)</t>
  </si>
  <si>
    <t xml:space="preserve">Mazu and cross-Strait relations</t>
  </si>
  <si>
    <t xml:space="preserve">妈祖信仰是海峡两岸关系重要的桥梁和纽带，是大陆和台湾文化交融的平台，对于促进祖国统一具有积极意义。</t>
  </si>
  <si>
    <t xml:space="preserve">Mazu belief is an important bridge for cross-Strait relations ... and positive for promoting national reunification.</t>
  </si>
  <si>
    <t xml:space="preserve">Cross-Strait; reunification</t>
  </si>
  <si>
    <r>
      <rPr>
        <sz val="10"/>
        <rFont val="Arial"/>
        <family val="0"/>
        <charset val="1"/>
      </rPr>
      <t xml:space="preserve">ihchina national ICH list: </t>
    </r>
    <r>
      <rPr>
        <sz val="10"/>
        <rFont val="Noto Sans CJK SC"/>
        <family val="2"/>
      </rPr>
      <t xml:space="preserve">民间信俗（闽台送王船）</t>
    </r>
  </si>
  <si>
    <t xml:space="preserve">Wangchuan ceremony (compare UNESCO 2020)</t>
  </si>
  <si>
    <t xml:space="preserve">“王爷”信仰广泛流传于闽南沿海及台湾渔村，尤其盛于南台湾，与中台湾的妈祖信仰并称。</t>
  </si>
  <si>
    <t xml:space="preserve">Wangye belief is widespread in southern Fujian coastal areas and Taiwanese fishing villages. National title frames it as Fujian-Taiwan; UNESCO's 2020 joint inscription frames it as China + Malaysia (Melaka).</t>
  </si>
  <si>
    <t xml:space="preserve">Cross-Strait vs diaspora framing</t>
  </si>
  <si>
    <t xml:space="preserve">Country</t>
  </si>
  <si>
    <t xml:space="preserve">Site</t>
  </si>
  <si>
    <t xml:space="preserve">Years</t>
  </si>
  <si>
    <t xml:space="preserve">Chinese institution</t>
  </si>
  <si>
    <t xml:space="preserve">Xingren Temple and Bogd Khan Palace (lama temples), Ulaanbaatar</t>
  </si>
  <si>
    <t xml:space="preserve">1959-1961</t>
  </si>
  <si>
    <t xml:space="preserve">Chinese experts Yu Mingqian and Li Zhujun</t>
  </si>
  <si>
    <t xml:space="preserve">Described by NCHA as the start of China's overseas heritage work.</t>
  </si>
  <si>
    <t xml:space="preserve">Cambodia</t>
  </si>
  <si>
    <t xml:space="preserve">Angkor: Chau Say Tevoda</t>
  </si>
  <si>
    <t xml:space="preserve">1998 (ten-year project)</t>
  </si>
  <si>
    <t xml:space="preserve">CACH</t>
  </si>
  <si>
    <t xml:space="preserve">Within UNESCO's International Coordinating Committee for Angkor.</t>
  </si>
  <si>
    <t xml:space="preserve">Angkor: Ta Keo</t>
  </si>
  <si>
    <t xml:space="preserve">2010 (eight-year project)</t>
  </si>
  <si>
    <t xml:space="preserve">Angkor: Royal Palace site</t>
  </si>
  <si>
    <t xml:space="preserve">2018 (signed)</t>
  </si>
  <si>
    <t xml:space="preserve">Named again in the 2026 plan.</t>
  </si>
  <si>
    <t xml:space="preserve">Nepal</t>
  </si>
  <si>
    <t xml:space="preserve">Nine-Storey Temple (Basantapur), Kathmandu</t>
  </si>
  <si>
    <t xml:space="preserve">Named in 2021 plan</t>
  </si>
  <si>
    <t xml:space="preserve">Not stated in sources read</t>
  </si>
  <si>
    <t xml:space="preserve">Kathmandu Valley World Heritage site.</t>
  </si>
  <si>
    <t xml:space="preserve">Nuwakot Durbar Square palace</t>
  </si>
  <si>
    <t xml:space="preserve">Named in 2026 plan</t>
  </si>
  <si>
    <t xml:space="preserve">Myanmar</t>
  </si>
  <si>
    <t xml:space="preserve">Thatbyinnyu Temple, Bagan</t>
  </si>
  <si>
    <t xml:space="preserve">Named in 2021 and 2026 plans</t>
  </si>
  <si>
    <t xml:space="preserve">Bagan World Heritage site.</t>
  </si>
  <si>
    <t xml:space="preserve">Uzbekistan</t>
  </si>
  <si>
    <t xml:space="preserve">Fergana Basin sites (Mingtepe, Monzatepe, Eratan)</t>
  </si>
  <si>
    <t xml:space="preserve">Joint archaeology</t>
  </si>
  <si>
    <t xml:space="preserve">2012-</t>
  </si>
  <si>
    <t xml:space="preserve">CASS Institute of Archaeology</t>
  </si>
  <si>
    <t xml:space="preserve">Silk Roads region.</t>
  </si>
  <si>
    <t xml:space="preserve">Honduras</t>
  </si>
  <si>
    <t xml:space="preserve">Copan Maya site</t>
  </si>
  <si>
    <t xml:space="preserve">2015-</t>
  </si>
  <si>
    <t xml:space="preserve">Non-Chinese-heritage site: comparison case.</t>
  </si>
  <si>
    <t xml:space="preserve">Egypt</t>
  </si>
  <si>
    <t xml:space="preserve">Monthu Temple, Karnak (Luxor)</t>
  </si>
  <si>
    <t xml:space="preserve">2018-</t>
  </si>
  <si>
    <t xml:space="preserve">Results released 2026-09-24.</t>
  </si>
  <si>
    <t xml:space="preserve">Romania</t>
  </si>
  <si>
    <t xml:space="preserve">Site reported as 'Dobrujavatz' (name to confirm)</t>
  </si>
  <si>
    <t xml:space="preserve">2019-</t>
  </si>
  <si>
    <t xml:space="preserve">Greece</t>
  </si>
  <si>
    <t xml:space="preserve">Angelokastro site (as reported)</t>
  </si>
  <si>
    <t xml:space="preserve">2026</t>
  </si>
  <si>
    <t xml:space="preserve">Tunisia</t>
  </si>
  <si>
    <t xml:space="preserve">Ben Arous forest site</t>
  </si>
  <si>
    <t xml:space="preserve">Results 2026</t>
  </si>
  <si>
    <t xml:space="preserve">NCHA Archaeological Research Center</t>
  </si>
  <si>
    <t xml:space="preserve">Carthaginian-Roman transition.</t>
  </si>
  <si>
    <t xml:space="preserve">Red River site, Chu valley</t>
  </si>
  <si>
    <t xml:space="preserve">Shaanxi Academy of Archaeology</t>
  </si>
  <si>
    <t xml:space="preserve">Silk Roads region (near the Chang'an-Tianshan corridor).</t>
  </si>
  <si>
    <t xml:space="preserve">Kenya</t>
  </si>
  <si>
    <t xml:space="preserve">Lamu archipelago and Malindi</t>
  </si>
  <si>
    <t xml:space="preserve">c. 2010-2013 (reported)</t>
  </si>
  <si>
    <t xml:space="preserve">Peking University (per media reports)</t>
  </si>
  <si>
    <t xml:space="preserve">Framed around Zheng He's voyages; secondary sources only so far.</t>
  </si>
  <si>
    <t xml:space="preserve">Region</t>
  </si>
  <si>
    <t xml:space="preserve">National Heritage Register (Jabatan Warisan Negara)</t>
  </si>
  <si>
    <t xml:space="preserve">Host government (federal heritage department)</t>
  </si>
  <si>
    <t xml:space="preserve">https://www.heritage.gov.my/images/05_daftarwarisan/BANGUNAN_Warisan%20Kebangsaan.pdf</t>
  </si>
  <si>
    <t xml:space="preserve">Historical presence and designation layers. Buildings lists: 130 'Warisan Kebangsaan' (National Heritage, declared 2007-2018) and 125 'Warisan' (Heritage, gazetted 1977-2020). Separate lists for archaeological sites and other categories.</t>
  </si>
  <si>
    <t xml:space="preserve">Malay</t>
  </si>
  <si>
    <t xml:space="preserve">Structured but as PDF tables per category: number, site, gazette number or declaration date and place. No coordinates, no descriptions.</t>
  </si>
  <si>
    <t xml:space="preserve">PDF download and table extraction. No searchable database found.</t>
  </si>
  <si>
    <t xml:space="preserve">Yes: gazette and declaration dates per entry.</t>
  </si>
  <si>
    <t xml:space="preserve">Chinese-community sites look rare: one found in the 130 National Heritage buildings (Leong San Tong Khoo Kongsi, Penang, 2018) and none identified in the 125 Heritage buildings. Read by automated summary; recheck by hand.</t>
  </si>
  <si>
    <t xml:space="preserve">High (official). Thin for Chinese sites.</t>
  </si>
  <si>
    <t xml:space="preserve">George Town World Heritage Incorporated (GTWHI)</t>
  </si>
  <si>
    <t xml:space="preserve">Host state agency (World Heritage site manager)</t>
  </si>
  <si>
    <t xml:space="preserve">https://gtwhi.com.my/our-work/buildings/</t>
  </si>
  <si>
    <t xml:space="preserve">Historical presence in the George Town World Heritage site: more than 5,000 buildings; 82 Category I buildings, gateways, cemeteries and sites; Category II mostly shophouses.</t>
  </si>
  <si>
    <t xml:space="preserve">English, Malay</t>
  </si>
  <si>
    <t xml:space="preserve">Building inventory exists (Special Area Plan) but no list, database or map is published on the page.</t>
  </si>
  <si>
    <t xml:space="preserve">Manual. Ask GTWHI for the inventory or use the Special Area Plan document.</t>
  </si>
  <si>
    <t xml:space="preserve">Special Area Plan editions.</t>
  </si>
  <si>
    <t xml:space="preserve">Lists 'Chinese temples' and 'water villages (clan jetties)' among building types, alongside mosques, churches and Hindu temples: multicultural framing.</t>
  </si>
  <si>
    <t xml:space="preserve">Bukit Cina cemetery, Melaka (community-managed)</t>
  </si>
  <si>
    <t xml:space="preserve">Diaspora community / news</t>
  </si>
  <si>
    <t xml:space="preserve">https://www.thestar.com.my/news/nation/2005/07/14/bukit-cina-to-be-gazetted</t>
  </si>
  <si>
    <t xml:space="preserve">Chinese cemetery with over 12,000 graves, some claimed to date to the Ming dynasty (per Wikipedia). A 1980s development proposal made it a national controversy; in 2005 it was reported it would be gazetted as an ancient monument.</t>
  </si>
  <si>
    <t xml:space="preserve">English, Chinese, Malay</t>
  </si>
  <si>
    <t xml:space="preserve">No register entry found online; evidence is news and community sources.</t>
  </si>
  <si>
    <t xml:space="preserve">Manual. Current legal status still to confirm.</t>
  </si>
  <si>
    <t xml:space="preserve">Yes: 1980s dispute and 2005 gazettal report give dated framings.</t>
  </si>
  <si>
    <t xml:space="preserve">Good test case: community, state and (later) Chinese-embassy narratives attach to the same hill.</t>
  </si>
  <si>
    <t xml:space="preserve">Medium (news and Wikipedia).</t>
  </si>
  <si>
    <t xml:space="preserve">Central Asia</t>
  </si>
  <si>
    <t xml:space="preserve">Kazakhstan State List of Monuments of History and Culture of Republican Significance</t>
  </si>
  <si>
    <t xml:space="preserve">Host government (legal act)</t>
  </si>
  <si>
    <t xml:space="preserve">https://zakon.uchet.kz/rus/docs/P080000279_</t>
  </si>
  <si>
    <t xml:space="preserve">Designation layer for Kazakhstan, including Silk Roads components in Zhetysu.</t>
  </si>
  <si>
    <t xml:space="preserve">Russian, Kazakh</t>
  </si>
  <si>
    <t xml:space="preserve">List published as a legal act; also regional lists of local significance.</t>
  </si>
  <si>
    <t xml:space="preserve">Not yet read: the legal portal refused automated access. Test in Phase 2 (adilet.zan.kz).</t>
  </si>
  <si>
    <t xml:space="preserve">Yes: successive approved lists (2008, 2020).</t>
  </si>
  <si>
    <t xml:space="preserve">High (official).</t>
  </si>
  <si>
    <t xml:space="preserve">Kyrgyzstan State List of monuments of republican significance</t>
  </si>
  <si>
    <t xml:space="preserve">Host government (legal act / policy concept)</t>
  </si>
  <si>
    <t xml:space="preserve">https://faolex.fao.org/docs/pdf/kyr161432.pdf</t>
  </si>
  <si>
    <t xml:space="preserve">Designation layer: 583 objects on the State List out of about 2,000 immovable monuments (2015 heritage concept).</t>
  </si>
  <si>
    <t xml:space="preserve">Russian, Kyrgyz</t>
  </si>
  <si>
    <t xml:space="preserve">Legal text grouped by type (history, archaeology, architecture, art, combined).</t>
  </si>
  <si>
    <t xml:space="preserve">PDF or legal-portal text extraction.</t>
  </si>
  <si>
    <t xml:space="preserve">Yes: list and amendments are dated.</t>
  </si>
  <si>
    <t xml:space="preserve">Silk Roads components carry dual names, modern and historical: «Ак-Бешим (Суяб)», «Бурана (Баласагын)», «Красноречинское (Невакет)». No China reference in the naming.</t>
  </si>
  <si>
    <t xml:space="preserve">Central Asian Archaeological Landscapes (CAAL), UCL</t>
  </si>
  <si>
    <t xml:space="preserve">International academic project</t>
  </si>
  <si>
    <t xml:space="preserve">https://database.uclcaal.org/</t>
  </si>
  <si>
    <t xml:space="preserve">Over 45,000 archaeological sites across Kazakhstan, Kyrgyzstan, Tajikistan, Turkmenistan, Uzbekistan and Xinjiang (China); about 250,000 digitised archive files.</t>
  </si>
  <si>
    <t xml:space="preserve">English (site)</t>
  </si>
  <si>
    <t xml:space="preserve">Highly structured (Arches heritage-inventory platform).</t>
  </si>
  <si>
    <t xml:space="preserve">Open-access core without registration; sensitive data on request. Rights: all rights reserved, so reuse needs permission.</t>
  </si>
  <si>
    <t xml:space="preserve">Archive files are dated.</t>
  </si>
  <si>
    <t xml:space="preserve">Treats Xinjiang as part of a Central Asian landscape; partner logos include Northwest University (China).</t>
  </si>
  <si>
    <t xml:space="preserve">APSARA National Authority</t>
  </si>
  <si>
    <t xml:space="preserve">Host government (Angkor site manager)</t>
  </si>
  <si>
    <t xml:space="preserve">https://apsaraauthority.gov.kh/our-work/archeological-research-conservation/5</t>
  </si>
  <si>
    <t xml:space="preserve">Institutional engagement at Angkor: dated news by temple and by international team (India, US, Japan, South Korea, France, China).</t>
  </si>
  <si>
    <t xml:space="preserve">Khmer, English</t>
  </si>
  <si>
    <t xml:space="preserve">Semi-structured dated news posts. No project database.</t>
  </si>
  <si>
    <t xml:space="preserve">Scraping of dated posts.</t>
  </si>
  <si>
    <t xml:space="preserve">Yes: posts dated from at least 2024.</t>
  </si>
  <si>
    <t xml:space="preserve">China appears as one partner among many: 'China-Cambodia Government Team for Safeguarding Angkor'. Technical, not civilisational, wording.</t>
  </si>
  <si>
    <t xml:space="preserve">Chinese-Cambodian associations, temples and schools</t>
  </si>
  <si>
    <t xml:space="preserve">Diaspora community</t>
  </si>
  <si>
    <t xml:space="preserve">Historical presence layer in Cambodia.</t>
  </si>
  <si>
    <t xml:space="preserve">Chinese, Khmer</t>
  </si>
  <si>
    <t xml:space="preserve">No online register or list found in this pass.</t>
  </si>
  <si>
    <t xml:space="preserve">Not found. Needs Chinese-language search and literature in a later pass.</t>
  </si>
  <si>
    <t xml:space="preserve">Unknown.</t>
  </si>
  <si>
    <t xml:space="preserve">Not sampled.</t>
  </si>
  <si>
    <t xml:space="preserve">National Museums of Kenya: gazetted sites and monuments</t>
  </si>
  <si>
    <t xml:space="preserve">Host government (museums and heritage body)</t>
  </si>
  <si>
    <t xml:space="preserve">https://en.wikipedia.org/wiki/List_of_sites_and_monuments_in_Kenya</t>
  </si>
  <si>
    <t xml:space="preserve">Designation layer: 208 gazetted sites and monuments in the Wikipedia compilation, with gazette dates and coordinates. Coast entries include Gedi (1970), Mambrui (1935), Manda (1956), Siyu (1958), Pate (1982), Shanga (1983), Fort Jesus (1970).</t>
  </si>
  <si>
    <t xml:space="preserve">English</t>
  </si>
  <si>
    <t xml:space="preserve">Official source is Kenya Gazette notices (kenyalaw.org); Wikipedia offers a structured table.</t>
  </si>
  <si>
    <t xml:space="preserve">Wikipedia table or Wikidata for structure; gazette notices for verification.</t>
  </si>
  <si>
    <t xml:space="preserve">Yes: gazette dates from 1935.</t>
  </si>
  <si>
    <t xml:space="preserve">NMK's 2024 announcement of Gedi's World Heritage listing calls it 'a testament to the Swahili culture' and does not mention China.</t>
  </si>
  <si>
    <t xml:space="preserve">Medium (Wikipedia) to high (gazette).</t>
  </si>
  <si>
    <t xml:space="preserve">United States</t>
  </si>
  <si>
    <t xml:space="preserve">National Register of Historic Places (National Park Service)</t>
  </si>
  <si>
    <t xml:space="preserve">Host government (federal register)</t>
  </si>
  <si>
    <t xml:space="preserve">https://home.nps.gov/subjects/nationalregister/data-downloads.htm</t>
  </si>
  <si>
    <t xml:space="preserve">Designation layer for the US: all listed properties, National Historic Landmarks, removed and eligible properties.</t>
  </si>
  <si>
    <t xml:space="preserve">Highly structured: Excel spreadsheets (updated 2026-05-22) and a GIS geodatabase.</t>
  </si>
  <si>
    <t xml:space="preserve">Bulk download. No API mentioned.</t>
  </si>
  <si>
    <t xml:space="preserve">Yes: listing dates; nomination forms on NPGallery.</t>
  </si>
  <si>
    <t xml:space="preserve">Ethnic association is coded under 'Area of Significance' (e.g. 'Ethnic Heritage: Asian') but applied inconsistently, so Chinese-related places are undercounted. About 10% of places are identified with a cultural or ethnic community.</t>
  </si>
  <si>
    <t xml:space="preserve">High; incomplete for ethnic coding.</t>
  </si>
  <si>
    <t xml:space="preserve">NPS Asian American and Pacific Islander theme study, Appendix II study list (2017)</t>
  </si>
  <si>
    <t xml:space="preserve">Host government (thematic study)</t>
  </si>
  <si>
    <t xml:space="preserve">https://www.nps.gov/subjects/tellingallamericansstories/upload/19-Appendix-II-Study-List.pdf</t>
  </si>
  <si>
    <t xml:space="preserve">About 90 properties that may be eligible for National Historic Landmark status, grouped by community; roughly 35-40 Chinese American (approximate). Examples: Bok Kai Temple, Weaverville Joss House, China Alley, Rock Springs Massacre Site.</t>
  </si>
  <si>
    <t xml:space="preserve">PDF table: property, location, National Register listing year, criteria.</t>
  </si>
  <si>
    <t xml:space="preserve">PDF table extraction.</t>
  </si>
  <si>
    <t xml:space="preserve">Single edition (2017).</t>
  </si>
  <si>
    <t xml:space="preserve">Frames sites as part of American national history.</t>
  </si>
  <si>
    <t xml:space="preserve">Chinese Railroad Workers in North America Project (Stanford)</t>
  </si>
  <si>
    <t xml:space="preserve">Academic project</t>
  </si>
  <si>
    <t xml:space="preserve">https://web.stanford.edu/group/chineserailroad/cgi-bin/website/researchmaterials/archaeology</t>
  </si>
  <si>
    <t xml:space="preserve">Railway-worker sites and archaeology of overseas Chinese communities.</t>
  </si>
  <si>
    <t xml:space="preserve">English, Chinese</t>
  </si>
  <si>
    <t xml:space="preserve">No downloadable site list or database on the page; publications and an archaeology network.</t>
  </si>
  <si>
    <t xml:space="preserve">Manual; contact the project.</t>
  </si>
  <si>
    <t xml:space="preserve">Publications dated from 2013.</t>
  </si>
  <si>
    <t xml:space="preserve">'Transpacific' framing.</t>
  </si>
  <si>
    <t xml:space="preserve">High (scholarly).</t>
  </si>
  <si>
    <t xml:space="preserve">Australia</t>
  </si>
  <si>
    <t xml:space="preserve">Victorian Heritage Database (Heritage Council of Victoria)</t>
  </si>
  <si>
    <t xml:space="preserve">Host government (state register)</t>
  </si>
  <si>
    <t xml:space="preserve">https://api.heritagecouncil.vic.gov.au/v1/places?kw=chinese&amp;rpp=5</t>
  </si>
  <si>
    <t xml:space="preserve">Designation and narrative layers for Victoria: 454 places match the keyword 'chinese' (includes false positives), each with coordinates, summary and statement of significance.</t>
  </si>
  <si>
    <t xml:space="preserve">Highly structured.</t>
  </si>
  <si>
    <t xml:space="preserve">Open JSON API (tested 2026-10-05): id, name, latlon, summary, authority, register number.</t>
  </si>
  <si>
    <t xml:space="preserve">Heritage studies carry author and year.</t>
  </si>
  <si>
    <t xml:space="preserve">Bendigo Joss House: 'sole reminder' of a once extensive Chinese gold-rush community. Local-history framing.</t>
  </si>
  <si>
    <t xml:space="preserve">Australian Heritage Database (federal)</t>
  </si>
  <si>
    <t xml:space="preserve">Host government (federal)</t>
  </si>
  <si>
    <t xml:space="preserve">https://data.gov.au/data/dataset/australian-heritage-database</t>
  </si>
  <si>
    <t xml:space="preserve">More than 20,000 natural, historic and Indigenous places across national lists.</t>
  </si>
  <si>
    <t xml:space="preserve">Structured; files and APIs listed on data.gov.au.</t>
  </si>
  <si>
    <t xml:space="preserve">Download or API; licence 'not specified'.</t>
  </si>
  <si>
    <t xml:space="preserve">Updated 2025-06-24.</t>
  </si>
  <si>
    <t xml:space="preserve">Chinese Australian Historical Society select list; CHIA image database</t>
  </si>
  <si>
    <t xml:space="preserve">Diaspora community / museum and university</t>
  </si>
  <si>
    <t xml:space="preserve">https://chineseaustralianhistory.org/heritage/</t>
  </si>
  <si>
    <t xml:space="preserve">Community-compiled select list of Chinese Australian heritage sites by state (temples, market gardens, cemeteries, Broome Chinatown), linking to official registers. CHIA: archived catalogue of historical images.</t>
  </si>
  <si>
    <t xml:space="preserve">Semi-structured web list; CHIA is archived.</t>
  </si>
  <si>
    <t xml:space="preserve">CHIA archived; list is current.</t>
  </si>
  <si>
    <t xml:space="preserve">Community advocacy for listing: shows who is asking for recognition.</t>
  </si>
  <si>
    <t xml:space="preserve">Cross-country</t>
  </si>
  <si>
    <t xml:space="preserve">Wikidata</t>
  </si>
  <si>
    <t xml:space="preserve">Open knowledge base</t>
  </si>
  <si>
    <t xml:space="preserve">https://query.wikidata.org/</t>
  </si>
  <si>
    <t xml:space="preserve">Crosswalk and thin site coverage: 93 Chinatowns (82 with coordinates, 74 with a Chinese label); 2,028 Chinese temples of which about 207 are tagged outside mainland China, Taiwan, Hong Kong and Macao (including historical states); 16 in Malaysia. 6,184 items carry a UNESCO World Heritage ID.</t>
  </si>
  <si>
    <t xml:space="preserve">Multilingual</t>
  </si>
  <si>
    <t xml:space="preserve">SPARQL API (tested 2026-10-05).</t>
  </si>
  <si>
    <t xml:space="preserve">Edit history only.</t>
  </si>
  <si>
    <t xml:space="preserve">No framing text. Use as an ID and name crosswalk, not as the site list.</t>
  </si>
  <si>
    <t xml:space="preserve">Medium; very incomplete for diaspora sites.</t>
  </si>
  <si>
    <t xml:space="preserve">OpenStreetMap</t>
  </si>
  <si>
    <t xml:space="preserve">Open map database</t>
  </si>
  <si>
    <t xml:space="preserve">https://overpass-api.de/</t>
  </si>
  <si>
    <t xml:space="preserve">Much denser than Wikidata: 938 Taoist, Chinese-folk or Confucian places of worship in Malaysia, 392 with a Chinese name.</t>
  </si>
  <si>
    <t xml:space="preserve">Highly structured (tags, coordinates).</t>
  </si>
  <si>
    <t xml:space="preserve">Overpass API. Public servers timed out on multi-country queries; query one country at a time or use a regional extract.</t>
  </si>
  <si>
    <t xml:space="preserve">Edit history.</t>
  </si>
  <si>
    <t xml:space="preserve">No framing text. Best seed list for temples; needs checking against registers.</t>
  </si>
  <si>
    <t xml:space="preserve">Medium (crowd-sourced).</t>
  </si>
  <si>
    <t xml:space="preserve">AidData Global Chinese Development Finance dataset v3.0</t>
  </si>
  <si>
    <t xml:space="preserve">Academic research lab</t>
  </si>
  <si>
    <t xml:space="preserve">https://www.aiddata.org/data/aiddatas-global-chinese-development-finance-dataset-version-3-0</t>
  </si>
  <si>
    <t xml:space="preserve">Institutional engagement layer: 20,985 Chinese-financed projects in 165 countries, 2000-2021. Includes heritage aid, e.g. RMB 90 million grant for the Angkor Royal Palace restoration (2018, project 62500).</t>
  </si>
  <si>
    <t xml:space="preserve">Highly structured; ZIP download plus GeoJSON locations.</t>
  </si>
  <si>
    <t xml:space="preserve">Bulk download; keyword filter for heritage, restoration, archaeology.</t>
  </si>
  <si>
    <t xml:space="preserve">Project commitment years.</t>
  </si>
  <si>
    <t xml:space="preserve">Neutral descriptive records with funder and implementer.</t>
  </si>
  <si>
    <t xml:space="preserve">Cross-country (model)</t>
  </si>
  <si>
    <t xml:space="preserve">Singapore Historical GIS: Chinese temples (NUS)</t>
  </si>
  <si>
    <t xml:space="preserve">http://shgis.nus.edu.sg/index.php/chinese-temples</t>
  </si>
  <si>
    <t xml:space="preserve">More than 1,000 Chinese temples in Singapore with founding years, addresses, deities, inscriptions and links to mother temples in China. Outside the candidate regions; a model for the data to collect.</t>
  </si>
  <si>
    <t xml:space="preserve">Structured GIS; partly crowd-sourced.</t>
  </si>
  <si>
    <t xml:space="preserve">Web map; availability not tested.</t>
  </si>
  <si>
    <t xml:space="preserve">Tracks temple relocations over time.</t>
  </si>
  <si>
    <t xml:space="preserve">Records ties to 'mother temples' in China: a ready-made diaspora-to-China link field.</t>
  </si>
  <si>
    <t xml:space="preserve">Original wording (as retrieved)</t>
  </si>
  <si>
    <t xml:space="preserve">2025-10-24</t>
  </si>
  <si>
    <t xml:space="preserve">Host government</t>
  </si>
  <si>
    <t xml:space="preserve">Angkor Royal Palace restoration</t>
  </si>
  <si>
    <t xml:space="preserve">the China-Cambodia Government Team for Safeguarding Angkor with Mr. Li Xiangdong, Deputy Director-General of the China Academy of Cultural Heritage</t>
  </si>
  <si>
    <t xml:space="preserve">Technical partnership; China as one team among several</t>
  </si>
  <si>
    <t xml:space="preserve">https://apsaraauthority.gov.kh/2025/10/24/meeting-and-inspects-work-on-the-royal-palace/</t>
  </si>
  <si>
    <t xml:space="preserve">Check against source page</t>
  </si>
  <si>
    <t xml:space="preserve">2024-07-27</t>
  </si>
  <si>
    <t xml:space="preserve">National Museums of Kenya</t>
  </si>
  <si>
    <t xml:space="preserve">Gedi World Heritage listing</t>
  </si>
  <si>
    <t xml:space="preserve">a testament to the Swahili culture</t>
  </si>
  <si>
    <t xml:space="preserve">Swahili / national heritage; no China reference</t>
  </si>
  <si>
    <t xml:space="preserve">https://museums.or.ke/?p=2296</t>
  </si>
  <si>
    <t xml:space="preserve">2015-01-26</t>
  </si>
  <si>
    <t xml:space="preserve">Government of Kyrgyzstan (heritage concept 2015-2020)</t>
  </si>
  <si>
    <t xml:space="preserve">Silk Roads components</t>
  </si>
  <si>
    <t xml:space="preserve">городища «Ак-Бешим (Суяб)»</t>
  </si>
  <si>
    <t xml:space="preserve">Dual modern and historical naming; no China reference</t>
  </si>
  <si>
    <t xml:space="preserve">Undated (current page)</t>
  </si>
  <si>
    <t xml:space="preserve">George Town World Heritage Incorporated</t>
  </si>
  <si>
    <t xml:space="preserve">Host state agency</t>
  </si>
  <si>
    <t xml:space="preserve">George Town building types</t>
  </si>
  <si>
    <t xml:space="preserve">Among the types of buildings that can be found in George Town are shophouses, bungalows, mosques, churches, Chinese temples, Hindu temples, administration buildings, commerce and trade buildings, godowns and offices, water villages (clan jetties) and residential blocks.</t>
  </si>
  <si>
    <t xml:space="preserve">Multicultural; Chinese sites as one strand</t>
  </si>
  <si>
    <t xml:space="preserve">2005-07-14</t>
  </si>
  <si>
    <t xml:space="preserve">The Star (Malaysia)</t>
  </si>
  <si>
    <t xml:space="preserve">Host-country media</t>
  </si>
  <si>
    <t xml:space="preserve">Bukit Cina cemetery, Melaka</t>
  </si>
  <si>
    <t xml:space="preserve">Bukit Cina, the ancient Chinese cemetery that became a controversial issue in the 1980s following a proposal to develop it, will be gazetted as an ancient monument.</t>
  </si>
  <si>
    <t xml:space="preserve">Contested site; state recognition after community dispute</t>
  </si>
  <si>
    <t xml:space="preserve">Undated (register entry)</t>
  </si>
  <si>
    <t xml:space="preserve">Heritage Council of Victoria</t>
  </si>
  <si>
    <t xml:space="preserve">Bendigo Chinese Temple (Joss House), VHR H1791</t>
  </si>
  <si>
    <t xml:space="preserve">stands as sole reminder of once extensive Chinese community that flocked to this area during the gold rush</t>
  </si>
  <si>
    <t xml:space="preserve">Local gold-rush history; diaspora community</t>
  </si>
  <si>
    <t xml:space="preserve">https://vhd.heritagecouncil.vic.gov.au/places/34220</t>
  </si>
  <si>
    <t xml:space="preserve">Undated</t>
  </si>
  <si>
    <t xml:space="preserve">Article hosted by Peking University Center for African Studies</t>
  </si>
  <si>
    <t xml:space="preserve">Media, republished by a Chinese university</t>
  </si>
  <si>
    <t xml:space="preserve">Mambrui excavation (Peking University with National Museums of Kenya)</t>
  </si>
  <si>
    <t xml:space="preserve">undermines Portuguese explorer Vasco Da Gama's claim to have been the first international trader to open up East Africa</t>
  </si>
  <si>
    <t xml:space="preserve">Zheng He; China before Europe</t>
  </si>
  <si>
    <t xml:space="preserve">https://caspu.pku.edu.cn/en/publications/africanhistory/228981.html</t>
  </si>
  <si>
    <t xml:space="preserve">Partner (my reading)</t>
  </si>
  <si>
    <t xml:space="preserve">Category (my coding)</t>
  </si>
  <si>
    <t xml:space="preserve">Title (original, as listed)</t>
  </si>
  <si>
    <r>
      <rPr>
        <b val="true"/>
        <sz val="11"/>
        <color rgb="FFFFFFFF"/>
        <rFont val="Arial"/>
        <family val="0"/>
        <charset val="1"/>
      </rPr>
      <t xml:space="preserve">Type (</t>
    </r>
    <r>
      <rPr>
        <b val="true"/>
        <sz val="11"/>
        <color rgb="FFFFFFFF"/>
        <rFont val="Noto Sans CJK SC"/>
        <family val="2"/>
      </rPr>
      <t xml:space="preserve">类别</t>
    </r>
    <r>
      <rPr>
        <b val="true"/>
        <sz val="11"/>
        <color rgb="FFFFFFFF"/>
        <rFont val="Arial"/>
        <family val="0"/>
        <charset val="1"/>
      </rPr>
      <t xml:space="preserve">)</t>
    </r>
  </si>
  <si>
    <r>
      <rPr>
        <b val="true"/>
        <sz val="11"/>
        <color rgb="FFFFFFFF"/>
        <rFont val="Arial"/>
        <family val="0"/>
        <charset val="1"/>
      </rPr>
      <t xml:space="preserve">Field (</t>
    </r>
    <r>
      <rPr>
        <b val="true"/>
        <sz val="11"/>
        <color rgb="FFFFFFFF"/>
        <rFont val="Noto Sans CJK SC"/>
        <family val="2"/>
      </rPr>
      <t xml:space="preserve">领域</t>
    </r>
    <r>
      <rPr>
        <b val="true"/>
        <sz val="11"/>
        <color rgb="FFFFFFFF"/>
        <rFont val="Arial"/>
        <family val="0"/>
        <charset val="1"/>
      </rPr>
      <t xml:space="preserve">)</t>
    </r>
  </si>
  <si>
    <r>
      <rPr>
        <b val="true"/>
        <sz val="11"/>
        <color rgb="FFFFFFFF"/>
        <rFont val="Arial"/>
        <family val="0"/>
        <charset val="1"/>
      </rPr>
      <t xml:space="preserve">Signed by China (</t>
    </r>
    <r>
      <rPr>
        <b val="true"/>
        <sz val="11"/>
        <color rgb="FFFFFFFF"/>
        <rFont val="Noto Sans CJK SC"/>
        <family val="2"/>
      </rPr>
      <t xml:space="preserve">我国签署时间</t>
    </r>
    <r>
      <rPr>
        <b val="true"/>
        <sz val="11"/>
        <color rgb="FFFFFFFF"/>
        <rFont val="Arial"/>
        <family val="0"/>
        <charset val="1"/>
      </rPr>
      <t xml:space="preserve">)</t>
    </r>
  </si>
  <si>
    <r>
      <rPr>
        <b val="true"/>
        <sz val="11"/>
        <color rgb="FFFFFFFF"/>
        <rFont val="Arial"/>
        <family val="0"/>
        <charset val="1"/>
      </rPr>
      <t xml:space="preserve">In force (</t>
    </r>
    <r>
      <rPr>
        <b val="true"/>
        <sz val="11"/>
        <color rgb="FFFFFFFF"/>
        <rFont val="Noto Sans CJK SC"/>
        <family val="2"/>
      </rPr>
      <t xml:space="preserve">条约生效时间</t>
    </r>
    <r>
      <rPr>
        <b val="true"/>
        <sz val="11"/>
        <color rgb="FFFFFFFF"/>
        <rFont val="Arial"/>
        <family val="0"/>
        <charset val="1"/>
      </rPr>
      <t xml:space="preserve">)</t>
    </r>
  </si>
  <si>
    <t xml:space="preserve">Matched keyword</t>
  </si>
  <si>
    <t xml:space="preserve">Record</t>
  </si>
  <si>
    <t xml:space="preserve">France</t>
  </si>
  <si>
    <t xml:space="preserve">Exhibition (1970s)</t>
  </si>
  <si>
    <t xml:space="preserve">中华人民共和国政府和法兰西共和国政府关于《中华人民共和国出土文物展览》协定</t>
  </si>
  <si>
    <t xml:space="preserve">双边</t>
  </si>
  <si>
    <t xml:space="preserve">文化</t>
  </si>
  <si>
    <t xml:space="preserve">1973.03.23</t>
  </si>
  <si>
    <t xml:space="preserve">文物</t>
  </si>
  <si>
    <t xml:space="preserve">https://treaty.mfa.gov.cn/web/detail1.jsp?objid=1531876485802</t>
  </si>
  <si>
    <t xml:space="preserve">United Kingdom</t>
  </si>
  <si>
    <t xml:space="preserve">中华人民共和国政府和大不列颠及北爱尔兰联合王国政府关于《中华人民共和国出土文物展览》协定</t>
  </si>
  <si>
    <t xml:space="preserve">1973.07.02</t>
  </si>
  <si>
    <t xml:space="preserve">https://treaty.mfa.gov.cn/web/detail1.jsp?objid=1531876485908</t>
  </si>
  <si>
    <t xml:space="preserve">Austria</t>
  </si>
  <si>
    <t xml:space="preserve">中华人民共和国政府和奥地利共和国政府关于《中华人民共和国出土文物展览》协定</t>
  </si>
  <si>
    <t xml:space="preserve">1973.10.30</t>
  </si>
  <si>
    <t xml:space="preserve">1974.01.31</t>
  </si>
  <si>
    <t xml:space="preserve">https://treaty.mfa.gov.cn/web/detail1.jsp?objid=1531876485962</t>
  </si>
  <si>
    <t xml:space="preserve">中华人民共和国政府和瑞典王国政府关于《中华人民共和国出土文物展览》协定</t>
  </si>
  <si>
    <t xml:space="preserve">1973.11.09</t>
  </si>
  <si>
    <t xml:space="preserve">1973.12.10</t>
  </si>
  <si>
    <t xml:space="preserve">https://treaty.mfa.gov.cn/web/detail1.jsp?objid=1531876486014</t>
  </si>
  <si>
    <t xml:space="preserve">中华人民共和国政府和罗马尼亚社会主义共和国政府关于《中华人民共和国出土文物展览》协定</t>
  </si>
  <si>
    <t xml:space="preserve">1973.11.24</t>
  </si>
  <si>
    <t xml:space="preserve">https://treaty.mfa.gov.cn/web/detail1.jsp?objid=1531876485752</t>
  </si>
  <si>
    <t xml:space="preserve">Canada</t>
  </si>
  <si>
    <t xml:space="preserve">中华人民共和国政府和加拿大政府关于《中华人民共和国出土文物展览》协定</t>
  </si>
  <si>
    <t xml:space="preserve">1974.03.15</t>
  </si>
  <si>
    <t xml:space="preserve">https://treaty.mfa.gov.cn/web/detail1.jsp?objid=1531876494044</t>
  </si>
  <si>
    <t xml:space="preserve">Mexico</t>
  </si>
  <si>
    <t xml:space="preserve">中华人民共和国政府和墨西哥合众国政府关于《中华人民共和国出土文物展览》协定</t>
  </si>
  <si>
    <t xml:space="preserve">1974.05.24</t>
  </si>
  <si>
    <t xml:space="preserve">https://treaty.mfa.gov.cn/web/detail1.jsp?objid=1531876494252</t>
  </si>
  <si>
    <t xml:space="preserve">Netherlands</t>
  </si>
  <si>
    <t xml:space="preserve">中华人民共和国政府和荷兰王国政府关于《中华人民共和国出土文物展览》协定</t>
  </si>
  <si>
    <t xml:space="preserve">1974.10.28</t>
  </si>
  <si>
    <t xml:space="preserve">https://treaty.mfa.gov.cn/web/detail1.jsp?objid=1531876494151</t>
  </si>
  <si>
    <t xml:space="preserve">Belgium</t>
  </si>
  <si>
    <t xml:space="preserve">中华人民共和国政府和比利时王国政府关于《中华人民共和国出土文物展览》协定</t>
  </si>
  <si>
    <t xml:space="preserve">1974.12.20</t>
  </si>
  <si>
    <t xml:space="preserve">https://treaty.mfa.gov.cn/web/detail1.jsp?objid=1531876493991</t>
  </si>
  <si>
    <t xml:space="preserve">中华人民共和国政府和澳大利亚政府关于《中华人民共和国出土文物展览》协定</t>
  </si>
  <si>
    <t xml:space="preserve">1976.06.23</t>
  </si>
  <si>
    <t xml:space="preserve">https://treaty.mfa.gov.cn/web/detail1.jsp?objid=1531876513690</t>
  </si>
  <si>
    <t xml:space="preserve">中华人民共和国政府和菲律宾共和国政府关于《中华人民共和国出土文物展览》协定</t>
  </si>
  <si>
    <t xml:space="preserve">1976.08.05</t>
  </si>
  <si>
    <t xml:space="preserve">https://treaty.mfa.gov.cn/web/detail1.jsp?objid=1531876513639</t>
  </si>
  <si>
    <t xml:space="preserve">Academic exchange</t>
  </si>
  <si>
    <t xml:space="preserve">中国社会科学院和瑞典皇家文学、历史、文物学院学术交流协议</t>
  </si>
  <si>
    <t xml:space="preserve">1981.10.07</t>
  </si>
  <si>
    <t xml:space="preserve">https://treaty.mfa.gov.cn/web/detail1.jsp?objid=1531876565956</t>
  </si>
  <si>
    <t xml:space="preserve">Hungary</t>
  </si>
  <si>
    <t xml:space="preserve">Cultural cooperation plan</t>
  </si>
  <si>
    <t xml:space="preserve">中华人民共和国文化部和匈牙利共和国民族文化遗产部二〇〇三至二〇〇五年文化合作计划</t>
  </si>
  <si>
    <t xml:space="preserve">2003.01.27</t>
  </si>
  <si>
    <t xml:space="preserve">文化遗产</t>
  </si>
  <si>
    <t xml:space="preserve">https://treaty.mfa.gov.cn/web/detail1.jsp?objid=1531876854962</t>
  </si>
  <si>
    <t xml:space="preserve">Heritage cooperation</t>
  </si>
  <si>
    <t xml:space="preserve">中华人民共和国国家文物局和大韩民国文化财厅关于开展文化遗产方面交流合作的协议</t>
  </si>
  <si>
    <t xml:space="preserve">2005.11.03</t>
  </si>
  <si>
    <t xml:space="preserve">https://treaty.mfa.gov.cn/web/detail1.jsp?objid=1531876878468</t>
  </si>
  <si>
    <t xml:space="preserve">Italy</t>
  </si>
  <si>
    <t xml:space="preserve">Illicit trafficking</t>
  </si>
  <si>
    <t xml:space="preserve">中华人民共和国政府和意大利共和国政府关于防止盗窃、盗掘和非法进出境文物的协定</t>
  </si>
  <si>
    <t xml:space="preserve">其他</t>
  </si>
  <si>
    <t xml:space="preserve">2006.01.20</t>
  </si>
  <si>
    <t xml:space="preserve">https://treaty.mfa.gov.cn/web/detail1.jsp?objid=1531876897634</t>
  </si>
  <si>
    <t xml:space="preserve">中华人民共和国国家文物局与越南社会主义共和国文化通讯部文化遗产局关于文化遗产保护合作谅解备忘录</t>
  </si>
  <si>
    <t xml:space="preserve">2006.10.11</t>
  </si>
  <si>
    <t xml:space="preserve">https://treaty.mfa.gov.cn/web/detail1.jsp?objid=1531876893427</t>
  </si>
  <si>
    <t xml:space="preserve">中华人民共和国国家文物局与印度共和国考古局关于合作保护文化遗产谅解备忘录</t>
  </si>
  <si>
    <t xml:space="preserve">2006.11.21</t>
  </si>
  <si>
    <t xml:space="preserve">https://treaty.mfa.gov.cn/web/detail1.jsp?objid=1531876893282</t>
  </si>
  <si>
    <t xml:space="preserve">中华人民共和国政府和印度共和国政府关于防止盗窃、盗掘和非法进出境文物的协定</t>
  </si>
  <si>
    <t xml:space="preserve">https://treaty.mfa.gov.cn/web/detail1.jsp?objid=1531876893181</t>
  </si>
  <si>
    <t xml:space="preserve">中华人民共和国政府和菲律宾共和国政府关于防止盗窃、盗掘和非法进出境文物的协定</t>
  </si>
  <si>
    <t xml:space="preserve">2007.01.15</t>
  </si>
  <si>
    <t xml:space="preserve">https://treaty.mfa.gov.cn/web/detail1.jsp?objid=1531876903025</t>
  </si>
  <si>
    <t xml:space="preserve">Iran</t>
  </si>
  <si>
    <t xml:space="preserve">中华人民共和国国家文物局与伊朗伊斯兰共和国文化遗产手工业旅游局关于合作保护文化遗产谅解备忘录</t>
  </si>
  <si>
    <t xml:space="preserve">2007.09.07</t>
  </si>
  <si>
    <t xml:space="preserve">https://treaty.mfa.gov.cn/web/detail1.jsp?objid=1531876904849</t>
  </si>
  <si>
    <t xml:space="preserve">Sri Lanka</t>
  </si>
  <si>
    <t xml:space="preserve">中华人民共和国国家文物局与斯里兰卡民主社会主义共和国国家遗产部关于合作保护文化遗产的协议</t>
  </si>
  <si>
    <t xml:space="preserve">2008.01.31</t>
  </si>
  <si>
    <t xml:space="preserve">https://treaty.mfa.gov.cn/web/detail1.jsp?objid=1531876918053</t>
  </si>
  <si>
    <t xml:space="preserve">中华人民共和国国家文物局和希腊共和国文化部关于防止盗窃、盗掘和非法进出境文物的谅解备忘录</t>
  </si>
  <si>
    <t xml:space="preserve">2008.02.26</t>
  </si>
  <si>
    <t xml:space="preserve">https://treaty.mfa.gov.cn/web/detail1.jsp?objid=1531876924395</t>
  </si>
  <si>
    <t xml:space="preserve">Chile</t>
  </si>
  <si>
    <t xml:space="preserve">中华人民共和国国家文物局和智利共和国国家遗迹委员会关于开展文化遗产领域交流合作的协议</t>
  </si>
  <si>
    <t xml:space="preserve">2008.04.14</t>
  </si>
  <si>
    <t xml:space="preserve">https://treaty.mfa.gov.cn/web/detail1.jsp?objid=1531876925884</t>
  </si>
  <si>
    <t xml:space="preserve">中华人民共和国政府和智利共和国政府关于防止盗窃、盗掘和非法进出境文物的协定</t>
  </si>
  <si>
    <t xml:space="preserve">2008.07.01</t>
  </si>
  <si>
    <t xml:space="preserve">https://treaty.mfa.gov.cn/web/detail1.jsp?objid=1531876925835</t>
  </si>
  <si>
    <r>
      <rPr>
        <sz val="10"/>
        <rFont val="Noto Sans CJK SC"/>
        <family val="2"/>
      </rPr>
      <t xml:space="preserve">中华人民共和国政府和美利坚合众国政府对旧石器时代到唐末的归类考古材料以及至少</t>
    </r>
    <r>
      <rPr>
        <sz val="10"/>
        <rFont val="Arial"/>
        <family val="0"/>
        <charset val="1"/>
      </rPr>
      <t xml:space="preserve">250</t>
    </r>
    <r>
      <rPr>
        <sz val="10"/>
        <rFont val="Noto Sans CJK SC"/>
        <family val="2"/>
      </rPr>
      <t xml:space="preserve">年以上的古迹雕塑和壁上艺术实施进口限制的谅解备忘录</t>
    </r>
  </si>
  <si>
    <t xml:space="preserve">投资贸易</t>
  </si>
  <si>
    <t xml:space="preserve">2009.01.14</t>
  </si>
  <si>
    <t xml:space="preserve">考古</t>
  </si>
  <si>
    <t xml:space="preserve">https://treaty.mfa.gov.cn/web/detail1.jsp?objid=1531876944132</t>
  </si>
  <si>
    <t xml:space="preserve">Ethiopia</t>
  </si>
  <si>
    <t xml:space="preserve">中华人民共和国国家文物局与埃塞俄比亚联邦民主共和国文化遗产研究与保护局关于合作保护文化遗产谅解备忘录</t>
  </si>
  <si>
    <t xml:space="preserve">2009.02.25</t>
  </si>
  <si>
    <t xml:space="preserve">https://treaty.mfa.gov.cn/web/detail1.jsp?objid=1531876933822</t>
  </si>
  <si>
    <t xml:space="preserve">中华人民共和国国家文物局与澳大利亚环境、水、遗产和艺术部关于文物保护的谅解备忘录</t>
  </si>
  <si>
    <t xml:space="preserve">2009.10.30</t>
  </si>
  <si>
    <t xml:space="preserve">https://treaty.mfa.gov.cn/web/detail1.jsp?objid=1531876945033</t>
  </si>
  <si>
    <t xml:space="preserve">Peru</t>
  </si>
  <si>
    <t xml:space="preserve">Aid project (museum)</t>
  </si>
  <si>
    <t xml:space="preserve">中华人民共和国政府和秘鲁共和国政府关于对秘鲁国家考古、人类、 历史学博物馆附属设施项目开展可行性研究的换函</t>
  </si>
  <si>
    <t xml:space="preserve">2016.11.21</t>
  </si>
  <si>
    <t xml:space="preserve">https://treaty.mfa.gov.cn/web/detail1.jsp?objid=1605167857701</t>
  </si>
  <si>
    <t xml:space="preserve">Multilateral (UNESCO)</t>
  </si>
  <si>
    <t xml:space="preserve">Multilateral convention</t>
  </si>
  <si>
    <t xml:space="preserve">保护非物质文化遗产公约</t>
  </si>
  <si>
    <t xml:space="preserve">多边</t>
  </si>
  <si>
    <t xml:space="preserve">2006.04.20</t>
  </si>
  <si>
    <t xml:space="preserve">https://treaty.mfa.gov.cn/web/detail1.jsp?objid=1531876077415</t>
  </si>
  <si>
    <t xml:space="preserve">Multilateral (UNIDROIT)</t>
  </si>
  <si>
    <t xml:space="preserve">国际统一私法协会关于被盗或者非法出口文物的公约</t>
  </si>
  <si>
    <t xml:space="preserve">1998.07.01</t>
  </si>
  <si>
    <t xml:space="preserve">https://treaty.mfa.gov.cn/web/detail1.jsp?objid=1531876070902</t>
  </si>
  <si>
    <t xml:space="preserve">UNESCO</t>
  </si>
  <si>
    <t xml:space="preserve">Funds-in-trust</t>
  </si>
  <si>
    <t xml:space="preserve">中华人民共和国国家文物局与联合国教育、科学、文化组织关于信托基金项目的行动计划</t>
  </si>
  <si>
    <t xml:space="preserve">https://treaty.mfa.gov.cn/web/detail1.jsp?objid=1531876888674</t>
  </si>
  <si>
    <t xml:space="preserve">Data type</t>
  </si>
  <si>
    <t xml:space="preserve">Coverage</t>
  </si>
  <si>
    <t xml:space="preserve">Agreements</t>
  </si>
  <si>
    <r>
      <rPr>
        <sz val="10"/>
        <rFont val="Arial"/>
        <family val="0"/>
        <charset val="1"/>
      </rPr>
      <t xml:space="preserve">China Ministry of Foreign Affairs Treaty Database (</t>
    </r>
    <r>
      <rPr>
        <sz val="10"/>
        <rFont val="Noto Sans CJK SC"/>
        <family val="2"/>
      </rPr>
      <t xml:space="preserve">条约数据库</t>
    </r>
    <r>
      <rPr>
        <sz val="10"/>
        <rFont val="Arial"/>
        <family val="0"/>
        <charset val="1"/>
      </rPr>
      <t xml:space="preserve">)</t>
    </r>
  </si>
  <si>
    <t xml:space="preserve">Chinese government</t>
  </si>
  <si>
    <t xml:space="preserve">https://treaty.mfa.gov.cn/web/index.jsp</t>
  </si>
  <si>
    <r>
      <rPr>
        <sz val="10"/>
        <rFont val="Arial"/>
        <family val="0"/>
        <charset val="1"/>
      </rPr>
      <t xml:space="preserve">Bilateral and multilateral treaties and some cooperation documents. 31 records match </t>
    </r>
    <r>
      <rPr>
        <sz val="10"/>
        <rFont val="Noto Sans CJK SC"/>
        <family val="2"/>
      </rPr>
      <t xml:space="preserve">文物</t>
    </r>
    <r>
      <rPr>
        <sz val="10"/>
        <rFont val="Arial"/>
        <family val="0"/>
        <charset val="1"/>
      </rPr>
      <t xml:space="preserve">, </t>
    </r>
    <r>
      <rPr>
        <sz val="10"/>
        <rFont val="Noto Sans CJK SC"/>
        <family val="2"/>
      </rPr>
      <t xml:space="preserve">文化遗产</t>
    </r>
    <r>
      <rPr>
        <sz val="10"/>
        <rFont val="Arial"/>
        <family val="0"/>
        <charset val="1"/>
      </rPr>
      <t xml:space="preserve">, </t>
    </r>
    <r>
      <rPr>
        <sz val="10"/>
        <rFont val="Noto Sans CJK SC"/>
        <family val="2"/>
      </rPr>
      <t xml:space="preserve">考古</t>
    </r>
    <r>
      <rPr>
        <sz val="10"/>
        <rFont val="Arial"/>
        <family val="0"/>
        <charset val="1"/>
      </rPr>
      <t xml:space="preserve">, </t>
    </r>
    <r>
      <rPr>
        <sz val="10"/>
        <rFont val="Noto Sans CJK SC"/>
        <family val="2"/>
      </rPr>
      <t xml:space="preserve">世界遗产 </t>
    </r>
    <r>
      <rPr>
        <sz val="10"/>
        <rFont val="Arial"/>
        <family val="0"/>
        <charset val="1"/>
      </rPr>
      <t xml:space="preserve">or </t>
    </r>
    <r>
      <rPr>
        <sz val="10"/>
        <rFont val="Noto Sans CJK SC"/>
        <family val="2"/>
      </rPr>
      <t xml:space="preserve">非物质文化遗产</t>
    </r>
    <r>
      <rPr>
        <sz val="10"/>
        <rFont val="Arial"/>
        <family val="0"/>
        <charset val="1"/>
      </rPr>
      <t xml:space="preserve">: 6 on illicit trafficking, 8 heritage-cooperation memoranda, 11 exhibition agreements from 1973-76.</t>
    </r>
  </si>
  <si>
    <t xml:space="preserve">Highly structured: title, type, field, date signed, date in force, record ID, full text.</t>
  </si>
  <si>
    <t xml:space="preserve">Keyword search by web form (tested 2026-10-05); results can be collected page by page.</t>
  </si>
  <si>
    <t xml:space="preserve">Yes: signing dates from 1973.</t>
  </si>
  <si>
    <t xml:space="preserve">Incomplete after 2009: it holds 5 country agreements on illicit trafficking plus the US memorandum, while officials cite 26-27. Titles shift from 'exhibition of unearthed relics' (1970s) to 'preventing theft and illicit export' and 'cooperating to protect heritage' (2005-09).</t>
  </si>
  <si>
    <t xml:space="preserve">High for what it holds.</t>
  </si>
  <si>
    <t xml:space="preserve">Official counts of bilateral agreements on illicit trafficking of cultural property</t>
  </si>
  <si>
    <t xml:space="preserve">Chinese media citing officials</t>
  </si>
  <si>
    <t xml:space="preserve">https://m.bjnews.com.cn/detail/1699965728129667.html</t>
  </si>
  <si>
    <t xml:space="preserve">26 countries as of November 2023 (Beijing News); 27 as of September 2026 (Yangcheng Evening News).</t>
  </si>
  <si>
    <t xml:space="preserve">Counts only. No public list of the countries found.</t>
  </si>
  <si>
    <t xml:space="preserve">Manual; ask NCHA or assemble from news.</t>
  </si>
  <si>
    <t xml:space="preserve">Counts are dated.</t>
  </si>
  <si>
    <t xml:space="preserve">Framed as recovering lost relics.</t>
  </si>
  <si>
    <t xml:space="preserve">Medium (media).</t>
  </si>
  <si>
    <t xml:space="preserve">US State Department: cultural property agreements and import restrictions</t>
  </si>
  <si>
    <t xml:space="preserve">Foreign government</t>
  </si>
  <si>
    <t xml:space="preserve">https://2012-2025.eca.state.gov/cultural-heritage-center/cultural-property/current-agreements-and-import-restrictions.html</t>
  </si>
  <si>
    <t xml:space="preserve">41 countries with US agreements or restrictions. China: memorandum of 14 January 2009, extended 2014, 2019 and 2024.</t>
  </si>
  <si>
    <t xml:space="preserve">Structured list by country with Federal Register notices and designated lists.</t>
  </si>
  <si>
    <t xml:space="preserve">Web page (archived copy covering 2012 to May 2025) and Federal Register.</t>
  </si>
  <si>
    <t xml:space="preserve">Yes: each extension dated.</t>
  </si>
  <si>
    <t xml:space="preserve">Counterparty view of the same agreement; Chinese press reports more than 700 items returned in over 20 batches since 2009.</t>
  </si>
  <si>
    <t xml:space="preserve">Legal frameworks</t>
  </si>
  <si>
    <t xml:space="preserve">UNESCO Database of National Cultural Heritage Laws (China page)</t>
  </si>
  <si>
    <t xml:space="preserve">https://whc.unesco.org/en/statesparties/CN/laws/</t>
  </si>
  <si>
    <t xml:space="preserve">19 Chinese legal documents, from 1928 regulations to the Law on Protection of Cultural Relics (1982, 2002, 2007); includes bilateral agreements with Egypt (2010) and Switzerland (2013).</t>
  </si>
  <si>
    <t xml:space="preserve">Chinese, English, French</t>
  </si>
  <si>
    <t xml:space="preserve">Structured table: document, year, theme, category, language, with PDFs.</t>
  </si>
  <si>
    <t xml:space="preserve">Web page with PDF links; same structure for every country.</t>
  </si>
  <si>
    <t xml:space="preserve">Yes: dated versions of laws.</t>
  </si>
  <si>
    <t xml:space="preserve">Neutral. Lets you compare host-country heritage laws in the same format.</t>
  </si>
  <si>
    <t xml:space="preserve">High; may lag recent amendments.</t>
  </si>
  <si>
    <t xml:space="preserve">UNESCO meetings</t>
  </si>
  <si>
    <t xml:space="preserve">World Heritage Committee sessions archive and decisions database</t>
  </si>
  <si>
    <t xml:space="preserve">https://whc.unesco.org/en/sessions/</t>
  </si>
  <si>
    <t xml:space="preserve">Every Committee, Bureau and General Assembly session since 1977 with documents, decisions and records. Sessions held in China: 28th (Suzhou, 2004) and 44th (Fuzhou, 2021).</t>
  </si>
  <si>
    <t xml:space="preserve">English, French</t>
  </si>
  <si>
    <t xml:space="preserve">Highly structured by session code; decisions have stable IDs.</t>
  </si>
  <si>
    <t xml:space="preserve">Web pages; UNESCO's terms on scraping apply (see Data Access sheet).</t>
  </si>
  <si>
    <t xml:space="preserve">Yes: full dated series.</t>
  </si>
  <si>
    <t xml:space="preserve">Official wording of decisions; useful for when terms such as 'Silk Roads' enter decisions.</t>
  </si>
  <si>
    <t xml:space="preserve">Partnerships and funding</t>
  </si>
  <si>
    <t xml:space="preserve">UNESCO Core Data Portal</t>
  </si>
  <si>
    <t xml:space="preserve">https://core.unesco.org/en/project/580RAF4001</t>
  </si>
  <si>
    <t xml:space="preserve">Project-level data by donor and sector. Example: China Funds-in-Trust (Quanzhou) for Capacity-Building on World Heritage in Africa, USD 1,000,000, 11 March 2025 to 10 March 2028.</t>
  </si>
  <si>
    <t xml:space="preserve">Highly structured; XLS download.</t>
  </si>
  <si>
    <t xml:space="preserve">Download or page per project ID.</t>
  </si>
  <si>
    <t xml:space="preserve">Yes: project dates and budgets.</t>
  </si>
  <si>
    <t xml:space="preserve">Shows a Chinese city (Quanzhou, a 2021 World Heritage site) as named donor for African nominations.</t>
  </si>
  <si>
    <t xml:space="preserve">UNESCO World Heritage Centre partner page: Government of China</t>
  </si>
  <si>
    <t xml:space="preserve">https://whc.unesco.org/en/partners/503</t>
  </si>
  <si>
    <t xml:space="preserve">China-funded World Heritage work in Africa since 2014: nomination support in Chad, Cameroon, Nigeria, Benin and Togo; capacity building in Uganda, Congo, Ethiopia, Gabon, Mali, Côte d'Ivoire, Senegal and Tanzania; 2019 UNESCO-Africa-China Forum.</t>
  </si>
  <si>
    <t xml:space="preserve">One page per partner with linked news and events. No amounts given.</t>
  </si>
  <si>
    <t xml:space="preserve">Web page.</t>
  </si>
  <si>
    <t xml:space="preserve">Linked news items are dated.</t>
  </si>
  <si>
    <t xml:space="preserve">China as funder of other countries' nominations, not of 'Chinese' sites.</t>
  </si>
  <si>
    <t xml:space="preserve">Training</t>
  </si>
  <si>
    <t xml:space="preserve">UNESCO category 2 centres hosted by China</t>
  </si>
  <si>
    <t xml:space="preserve">UNESCO / Chinese institutions</t>
  </si>
  <si>
    <t xml:space="preserve">https://whc.unesco.org/en/activities/676/</t>
  </si>
  <si>
    <t xml:space="preserve">World Heritage centres: WHITR-AP (training and research, Shanghai) and HIST (space technologies). Intangible heritage: CRIHAP (training centre for Asia-Pacific, set up 2012; a 2019 workshop drew beneficiaries from Cambodia, Kazakhstan, Mongolia, Myanmar, Nepal and others).</t>
  </si>
  <si>
    <t xml:space="preserve">Each centre publishes activity news and annual reports; no shared database.</t>
  </si>
  <si>
    <t xml:space="preserve">Manual, or scrape each centre's news.</t>
  </si>
  <si>
    <t xml:space="preserve">Yes: annual reports.</t>
  </si>
  <si>
    <t xml:space="preserve">China as a regional training provider.</t>
  </si>
  <si>
    <t xml:space="preserve">Alliance for Cultural Heritage in Asia (ACHA) and the Asian Fund for Cultural Heritage Conservation</t>
  </si>
  <si>
    <t xml:space="preserve">China-led intergovernmental organisation; fund run under the China Foundation for Cultural Heritage Conservation</t>
  </si>
  <si>
    <t xml:space="preserve">http://www.news.cn/world/20251128/1965e348e6f14010aca3d1de668795ef/c.html</t>
  </si>
  <si>
    <t xml:space="preserve">ACHA became an intergovernmental organisation on 19 June 2024 (20 members, observers and partners at that date). Fund rounds: first 15 projects, RMB 4.6364 million, 8 countries (announced 2024); 15 more for 2024-2025 (announced November 2025, Chongqing).</t>
  </si>
  <si>
    <t xml:space="preserve">Project lists announced through state media; no public project database found.</t>
  </si>
  <si>
    <t xml:space="preserve">Manual from news; ask ACHA for lists.</t>
  </si>
  <si>
    <t xml:space="preserve">Yes: rounds dated 2022, 2024, 2025.</t>
  </si>
  <si>
    <t xml:space="preserve">'Asian' framing: projects in Armenia, Azerbaijan, Cambodia, UAE, Sri Lanka, Syria, Uzbekistan. New committee on 'Austronesian peoples and maritime civilisation'.</t>
  </si>
  <si>
    <t xml:space="preserve">Medium-high (state media).</t>
  </si>
  <si>
    <t xml:space="preserve">Projects</t>
  </si>
  <si>
    <t xml:space="preserve">Belt and Road Forum deliverables lists (2017, 2019, 2023)</t>
  </si>
  <si>
    <t xml:space="preserve">https://www.mfa.gov.cn/zyxw/202310/t20231018_11163412.shtml</t>
  </si>
  <si>
    <t xml:space="preserve">Numbered lists of agreed projects. The October 2023 list includes the Maritime Silk Road transnational nomination, a China-Saudi joint excavation at Serrin port, and an archaeological park at Nateshwar, Bangladesh.</t>
  </si>
  <si>
    <t xml:space="preserve">Semi-structured numbered lists, one document per forum.</t>
  </si>
  <si>
    <t xml:space="preserve">Web page; text extraction.</t>
  </si>
  <si>
    <t xml:space="preserve">Yes: three dated lists.</t>
  </si>
  <si>
    <t xml:space="preserve">Heritage listed as a Belt and Road deliverable alongside infrastructure.</t>
  </si>
  <si>
    <t xml:space="preserve">High for intent; not for delivery.</t>
  </si>
  <si>
    <t xml:space="preserve">State-media overviews of aid restoration</t>
  </si>
  <si>
    <t xml:space="preserve">Chinese media</t>
  </si>
  <si>
    <t xml:space="preserve">https://news.gmw.cn/2025-01/02/content_37772689.htm</t>
  </si>
  <si>
    <t xml:space="preserve">Guangming Daily (2 January 2025): restoration aid in Cambodia, Mongolia, Uzbekistan (Khiva), Nepal, Myanmar (Bagan) and Kyrgyzstan.</t>
  </si>
  <si>
    <t xml:space="preserve">Narrative articles.</t>
  </si>
  <si>
    <t xml:space="preserve">Dated articles.</t>
  </si>
  <si>
    <t xml:space="preserve">'One flower alone is not spring; a hundred flowers in bloom fill the garden' (civilisational diversity).</t>
  </si>
  <si>
    <t xml:space="preserve">Medium.</t>
  </si>
  <si>
    <t xml:space="preserve">Chinese companies and private donors in heritage work abroad</t>
  </si>
  <si>
    <t xml:space="preserve">Not found</t>
  </si>
  <si>
    <t xml:space="preserve">No source found that lists Chinese companies restoring or funding heritage sites abroad.</t>
  </si>
  <si>
    <t xml:space="preserve">None found.</t>
  </si>
  <si>
    <t xml:space="preserve">Places to look next: implementing-agency field in AidData (1c sheet); Ministry of Commerce aid tenders; donor lists of the China Foundation for Cultural Heritage Conservation.</t>
  </si>
  <si>
    <t xml:space="preserve">Regional summit outcome lists (China-Central Asia Summit, FOCAC action plans)</t>
  </si>
  <si>
    <t xml:space="preserve">https://uz.china-embassy.gov.cn/zwgxzxdt/202506/t20250618_11652102.htm</t>
  </si>
  <si>
    <t xml:space="preserve">Outcome lists and action plans that may contain heritage clauses.</t>
  </si>
  <si>
    <t xml:space="preserve">Semi-structured lists.</t>
  </si>
  <si>
    <t xml:space="preserve">Not yet read; test in a later pass.</t>
  </si>
  <si>
    <t xml:space="preserve">Yes: one per summit.</t>
  </si>
  <si>
    <t xml:space="preserve">High for intent.</t>
  </si>
  <si>
    <t xml:space="preserve">Parties</t>
  </si>
  <si>
    <t xml:space="preserve">What (my summary)</t>
  </si>
  <si>
    <t xml:space="preserve">Original wording</t>
  </si>
  <si>
    <t xml:space="preserve">2009-01-14</t>
  </si>
  <si>
    <t xml:space="preserve">Agreement</t>
  </si>
  <si>
    <t xml:space="preserve">China; United States</t>
  </si>
  <si>
    <t xml:space="preserve">Memorandum restricting US imports of Chinese archaeological material; extended 2014, 2019, 2024.</t>
  </si>
  <si>
    <t xml:space="preserve">Retrieved by web-reading tool; check</t>
  </si>
  <si>
    <t xml:space="preserve">2022</t>
  </si>
  <si>
    <t xml:space="preserve">Fund project</t>
  </si>
  <si>
    <t xml:space="preserve">China; Cambodia</t>
  </si>
  <si>
    <t xml:space="preserve">'Angkor Guardians': 2,000 care packs for children at 6 primary schools near Angkor, delivered with APSARA and the Chinese Academy of Cultural Heritage.</t>
  </si>
  <si>
    <r>
      <rPr>
        <sz val="10"/>
        <rFont val="Noto Sans CJK SC"/>
        <family val="2"/>
      </rPr>
      <t xml:space="preserve">由亚洲文化遗产保护基金和中国爱心网友提供的</t>
    </r>
    <r>
      <rPr>
        <sz val="10"/>
        <rFont val="Arial"/>
        <family val="0"/>
        <charset val="1"/>
      </rPr>
      <t xml:space="preserve">2000</t>
    </r>
    <r>
      <rPr>
        <sz val="10"/>
        <rFont val="Noto Sans CJK SC"/>
        <family val="2"/>
      </rPr>
      <t xml:space="preserve">个“爱心包”已于</t>
    </r>
    <r>
      <rPr>
        <sz val="10"/>
        <rFont val="Arial"/>
        <family val="0"/>
        <charset val="1"/>
      </rPr>
      <t xml:space="preserve">2022</t>
    </r>
    <r>
      <rPr>
        <sz val="10"/>
        <rFont val="Noto Sans CJK SC"/>
        <family val="2"/>
      </rPr>
      <t xml:space="preserve">年</t>
    </r>
    <r>
      <rPr>
        <sz val="10"/>
        <rFont val="Arial"/>
        <family val="0"/>
        <charset val="1"/>
      </rPr>
      <t xml:space="preserve">11</t>
    </r>
    <r>
      <rPr>
        <sz val="10"/>
        <rFont val="Noto Sans CJK SC"/>
        <family val="2"/>
      </rPr>
      <t xml:space="preserve">月运送到柬埔寨</t>
    </r>
  </si>
  <si>
    <t xml:space="preserve">http://www.news.cn/culture/20230320/1b237d8ebd314e15be1fb95123e8be6e/c.html</t>
  </si>
  <si>
    <t xml:space="preserve">Copied from page</t>
  </si>
  <si>
    <t xml:space="preserve">China; Afghanistan</t>
  </si>
  <si>
    <t xml:space="preserve">'Bamiyan Guardians': training for young heritage staff and residents of the Bamiyan site.</t>
  </si>
  <si>
    <r>
      <rPr>
        <sz val="10"/>
        <rFont val="Noto Sans CJK SC"/>
        <family val="2"/>
      </rPr>
      <t xml:space="preserve">完成了</t>
    </r>
    <r>
      <rPr>
        <sz val="10"/>
        <rFont val="Arial"/>
        <family val="0"/>
        <charset val="1"/>
      </rPr>
      <t xml:space="preserve">15</t>
    </r>
    <r>
      <rPr>
        <sz val="10"/>
        <rFont val="Noto Sans CJK SC"/>
        <family val="2"/>
      </rPr>
      <t xml:space="preserve">次“馕课”教学活动，针对性培训遗产保护区和缓冲区原住民</t>
    </r>
    <r>
      <rPr>
        <sz val="10"/>
        <rFont val="Arial"/>
        <family val="0"/>
        <charset val="1"/>
      </rPr>
      <t xml:space="preserve">300</t>
    </r>
    <r>
      <rPr>
        <sz val="10"/>
        <rFont val="Noto Sans CJK SC"/>
        <family val="2"/>
      </rPr>
      <t xml:space="preserve">人以上</t>
    </r>
  </si>
  <si>
    <t xml:space="preserve">2023-10-18</t>
  </si>
  <si>
    <t xml:space="preserve">Belt and Road deliverable</t>
  </si>
  <si>
    <t xml:space="preserve">China; Saudi Arabia; Bangladesh</t>
  </si>
  <si>
    <t xml:space="preserve">NCHA to pursue the Maritime Silk Road transnational joint nomination, a China-Saudi excavation at Serrin port and an archaeological park at Nateshwar.</t>
  </si>
  <si>
    <r>
      <rPr>
        <sz val="10"/>
        <rFont val="Noto Sans CJK SC"/>
        <family val="2"/>
      </rPr>
      <t xml:space="preserve">中国国家文物局将开展海上丝绸之路跨国联合申遗工作，举办“海上丝绸之路文化遗产保护圆桌会议”、五湖四海</t>
    </r>
    <r>
      <rPr>
        <sz val="10"/>
        <rFont val="Arial"/>
        <family val="0"/>
        <charset val="1"/>
      </rPr>
      <t xml:space="preserve">-“</t>
    </r>
    <r>
      <rPr>
        <sz val="10"/>
        <rFont val="Noto Sans CJK SC"/>
        <family val="2"/>
      </rPr>
      <t xml:space="preserve">一带一路”文物考古合作展，并形成“一带一路”文化遗产保护成果图集。实施中国—沙特塞林港联合考古项目、援孟加拉国耐特什瓦考古遗址公园项目。</t>
    </r>
  </si>
  <si>
    <t xml:space="preserve">White paper on Belt and Road cultural heritage protection.</t>
  </si>
  <si>
    <t xml:space="preserve">发布《“一带一路”文化遗产保护白皮书》。</t>
  </si>
  <si>
    <t xml:space="preserve">2023-11-14</t>
  </si>
  <si>
    <t xml:space="preserve">Official count</t>
  </si>
  <si>
    <t xml:space="preserve">26 countries have signed agreements with China on preventing illicit import and export of cultural property.</t>
  </si>
  <si>
    <r>
      <rPr>
        <sz val="10"/>
        <rFont val="Noto Sans CJK SC"/>
        <family val="2"/>
      </rPr>
      <t xml:space="preserve">中国已与</t>
    </r>
    <r>
      <rPr>
        <sz val="10"/>
        <rFont val="Arial"/>
        <family val="0"/>
        <charset val="1"/>
      </rPr>
      <t xml:space="preserve">26</t>
    </r>
    <r>
      <rPr>
        <sz val="10"/>
        <rFont val="Noto Sans CJK SC"/>
        <family val="2"/>
      </rPr>
      <t xml:space="preserve">个国家签署防止文物非法进出境政府间协定</t>
    </r>
  </si>
  <si>
    <t xml:space="preserve">2024-06-19</t>
  </si>
  <si>
    <t xml:space="preserve">Organisation</t>
  </si>
  <si>
    <t xml:space="preserve">ACHA members</t>
  </si>
  <si>
    <t xml:space="preserve">ACHA becomes an intergovernmental organisation; Uzbekistan and Maldives join, Honduras becomes first partner country; first 15 fund projects approved (RMB 4.6364 million, 8 countries).</t>
  </si>
  <si>
    <r>
      <rPr>
        <sz val="10"/>
        <rFont val="Noto Sans CJK SC"/>
        <family val="2"/>
      </rPr>
      <t xml:space="preserve">大会吸纳乌兹别克斯坦、马尔代夫成为联盟成员国，洪都拉斯成为联盟首个伙伴国，联盟成员国、观察员国、伙伴国总数达到</t>
    </r>
    <r>
      <rPr>
        <sz val="10"/>
        <rFont val="Arial"/>
        <family val="0"/>
        <charset val="1"/>
      </rPr>
      <t xml:space="preserve">20</t>
    </r>
    <r>
      <rPr>
        <sz val="10"/>
        <rFont val="Noto Sans CJK SC"/>
        <family val="2"/>
      </rPr>
      <t xml:space="preserve">个。</t>
    </r>
  </si>
  <si>
    <t xml:space="preserve">https://cn.chinadaily.com.cn/a/202406/20/WS66738c64a3107cd55d267adc.html</t>
  </si>
  <si>
    <t xml:space="preserve">2025-03-11</t>
  </si>
  <si>
    <t xml:space="preserve">UNESCO funds-in-trust</t>
  </si>
  <si>
    <t xml:space="preserve">China (Quanzhou); Africa</t>
  </si>
  <si>
    <t xml:space="preserve">China Funds-in-Trust (Quanzhou) for Capacity-Building on World Heritage in Africa, USD 1,000,000, to March 2028.</t>
  </si>
  <si>
    <t xml:space="preserve">2025-11-27</t>
  </si>
  <si>
    <t xml:space="preserve">ACHA members; Egypt</t>
  </si>
  <si>
    <t xml:space="preserve">ACHA second general assembly, Chongqing: 15 fund projects for 2024-2025; host-country agreement with China; NCHA-Egypt joint statement and World Heritage cooperation agreement.</t>
  </si>
  <si>
    <r>
      <rPr>
        <sz val="10"/>
        <rFont val="Noto Sans CJK SC"/>
        <family val="2"/>
      </rPr>
      <t xml:space="preserve">本届大会发布了</t>
    </r>
    <r>
      <rPr>
        <sz val="10"/>
        <rFont val="Arial"/>
        <family val="0"/>
        <charset val="1"/>
      </rPr>
      <t xml:space="preserve">2024—2025</t>
    </r>
    <r>
      <rPr>
        <sz val="10"/>
        <rFont val="Noto Sans CJK SC"/>
        <family val="2"/>
      </rPr>
      <t xml:space="preserve">年度亚洲文化遗产保护基金资助项目，涉及亚美尼亚、阿塞拜疆、柬埔寨、阿联酋等国家的</t>
    </r>
    <r>
      <rPr>
        <sz val="10"/>
        <rFont val="Arial"/>
        <family val="0"/>
        <charset val="1"/>
      </rPr>
      <t xml:space="preserve">15</t>
    </r>
    <r>
      <rPr>
        <sz val="10"/>
        <rFont val="Noto Sans CJK SC"/>
        <family val="2"/>
      </rPr>
      <t xml:space="preserve">个项目。</t>
    </r>
  </si>
  <si>
    <t xml:space="preserve">Fund projects</t>
  </si>
  <si>
    <t xml:space="preserve">China; Uzbekistan; Sri Lanka; Syria</t>
  </si>
  <si>
    <t xml:space="preserve">Named projects: Uzbekistan-China excavation at Chinar-tepe; excavation at Papalugala and study of Mantai port finds, Sri Lanka; Latakia Museum exhibition upgrade.</t>
  </si>
  <si>
    <r>
      <rPr>
        <sz val="10"/>
        <rFont val="Noto Sans CJK SC"/>
        <family val="2"/>
      </rPr>
      <t xml:space="preserve">乌兹别克斯坦—中国联合考古发掘契纳尔特佩遗址、斯里兰卡帕巴鲁伽拉考古发掘与曼泰港遗址文物研究、拉塔基亚博物馆展览提升等</t>
    </r>
    <r>
      <rPr>
        <sz val="10"/>
        <rFont val="Arial"/>
        <family val="0"/>
        <charset val="1"/>
      </rPr>
      <t xml:space="preserve">15</t>
    </r>
    <r>
      <rPr>
        <sz val="10"/>
        <rFont val="Noto Sans CJK SC"/>
        <family val="2"/>
      </rPr>
      <t xml:space="preserve">个项目将得到亚洲文化遗产保护基金资助。</t>
    </r>
  </si>
  <si>
    <t xml:space="preserve">2026-09-19</t>
  </si>
  <si>
    <t xml:space="preserve">27 countries have bilateral agreements with China; over 700 items returned from the US in more than 20 batches since 2009.</t>
  </si>
  <si>
    <r>
      <rPr>
        <sz val="10"/>
        <rFont val="Noto Sans CJK SC"/>
        <family val="2"/>
      </rPr>
      <t xml:space="preserve">中美两国签署防止中国文物非法入境美国的政府间谅解备忘录以来，务实合作成果丰硕，实现超过</t>
    </r>
    <r>
      <rPr>
        <sz val="10"/>
        <rFont val="Arial"/>
        <family val="0"/>
        <charset val="1"/>
      </rPr>
      <t xml:space="preserve">20</t>
    </r>
    <r>
      <rPr>
        <sz val="10"/>
        <rFont val="Noto Sans CJK SC"/>
        <family val="2"/>
      </rPr>
      <t xml:space="preserve">批次共</t>
    </r>
    <r>
      <rPr>
        <sz val="10"/>
        <rFont val="Arial"/>
        <family val="0"/>
        <charset val="1"/>
      </rPr>
      <t xml:space="preserve">700</t>
    </r>
    <r>
      <rPr>
        <sz val="10"/>
        <rFont val="Noto Sans CJK SC"/>
        <family val="2"/>
      </rPr>
      <t xml:space="preserve">余件（套）流失美国的文物艺术品回归中国。</t>
    </r>
  </si>
  <si>
    <t xml:space="preserve">https://m.gmw.cn/2026-09/19/content_1304565539.htm</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</si>
</sst>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1"/>
      <color rgb="FFFFFFFF"/>
      <name val="Arial"/>
      <family val="0"/>
      <charset val="1"/>
    </font>
    <font>
      <sz val="10"/>
      <name val="Noto Sans CJK SC"/>
      <family val="2"/>
    </font>
    <font>
      <u val="single"/>
      <sz val="10"/>
      <color rgb="FF0563C1"/>
      <name val="Arial"/>
      <family val="0"/>
      <charset val="1"/>
    </font>
    <font>
      <b val="true"/>
      <sz val="11"/>
      <color rgb="FFFFFFFF"/>
      <name val="Noto Sans CJK SC"/>
      <family val="2"/>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hc.unesco.org/en/list/437/" TargetMode="External"/><Relationship Id="rId2" Type="http://schemas.openxmlformats.org/officeDocument/2006/relationships/hyperlink" Target="https://whc.unesco.org/en/list/437/documents/" TargetMode="External"/><Relationship Id="rId3" Type="http://schemas.openxmlformats.org/officeDocument/2006/relationships/hyperlink" Target="https://whc.unesco.org/en/list/438/" TargetMode="External"/><Relationship Id="rId4" Type="http://schemas.openxmlformats.org/officeDocument/2006/relationships/hyperlink" Target="https://whc.unesco.org/en/list/438/documents/" TargetMode="External"/><Relationship Id="rId5" Type="http://schemas.openxmlformats.org/officeDocument/2006/relationships/hyperlink" Target="https://whc.unesco.org/en/list/439/" TargetMode="External"/><Relationship Id="rId6" Type="http://schemas.openxmlformats.org/officeDocument/2006/relationships/hyperlink" Target="https://whc.unesco.org/en/list/439/documents/" TargetMode="External"/><Relationship Id="rId7" Type="http://schemas.openxmlformats.org/officeDocument/2006/relationships/hyperlink" Target="https://whc.unesco.org/en/list/440/" TargetMode="External"/><Relationship Id="rId8" Type="http://schemas.openxmlformats.org/officeDocument/2006/relationships/hyperlink" Target="https://whc.unesco.org/en/list/440/documents/" TargetMode="External"/><Relationship Id="rId9" Type="http://schemas.openxmlformats.org/officeDocument/2006/relationships/hyperlink" Target="https://whc.unesco.org/en/list/441/" TargetMode="External"/><Relationship Id="rId10" Type="http://schemas.openxmlformats.org/officeDocument/2006/relationships/hyperlink" Target="https://whc.unesco.org/en/list/441/documents/" TargetMode="External"/><Relationship Id="rId11" Type="http://schemas.openxmlformats.org/officeDocument/2006/relationships/hyperlink" Target="https://whc.unesco.org/en/list/449/" TargetMode="External"/><Relationship Id="rId12" Type="http://schemas.openxmlformats.org/officeDocument/2006/relationships/hyperlink" Target="https://whc.unesco.org/en/list/449/documents/" TargetMode="External"/><Relationship Id="rId13" Type="http://schemas.openxmlformats.org/officeDocument/2006/relationships/hyperlink" Target="https://whc.unesco.org/en/list/547/" TargetMode="External"/><Relationship Id="rId14" Type="http://schemas.openxmlformats.org/officeDocument/2006/relationships/hyperlink" Target="https://whc.unesco.org/en/list/547/documents/" TargetMode="External"/><Relationship Id="rId15" Type="http://schemas.openxmlformats.org/officeDocument/2006/relationships/hyperlink" Target="https://whc.unesco.org/en/list/637/" TargetMode="External"/><Relationship Id="rId16" Type="http://schemas.openxmlformats.org/officeDocument/2006/relationships/hyperlink" Target="https://whc.unesco.org/en/list/637/documents/" TargetMode="External"/><Relationship Id="rId17" Type="http://schemas.openxmlformats.org/officeDocument/2006/relationships/hyperlink" Target="https://whc.unesco.org/en/list/638/" TargetMode="External"/><Relationship Id="rId18" Type="http://schemas.openxmlformats.org/officeDocument/2006/relationships/hyperlink" Target="https://whc.unesco.org/en/list/638/documents/" TargetMode="External"/><Relationship Id="rId19" Type="http://schemas.openxmlformats.org/officeDocument/2006/relationships/hyperlink" Target="https://whc.unesco.org/en/list/640/" TargetMode="External"/><Relationship Id="rId20" Type="http://schemas.openxmlformats.org/officeDocument/2006/relationships/hyperlink" Target="https://whc.unesco.org/en/list/640/documents/" TargetMode="External"/><Relationship Id="rId21" Type="http://schemas.openxmlformats.org/officeDocument/2006/relationships/hyperlink" Target="https://whc.unesco.org/en/list/703/" TargetMode="External"/><Relationship Id="rId22" Type="http://schemas.openxmlformats.org/officeDocument/2006/relationships/hyperlink" Target="https://whc.unesco.org/en/list/703/documents/" TargetMode="External"/><Relationship Id="rId23" Type="http://schemas.openxmlformats.org/officeDocument/2006/relationships/hyperlink" Target="https://whc.unesco.org/en/list/704/" TargetMode="External"/><Relationship Id="rId24" Type="http://schemas.openxmlformats.org/officeDocument/2006/relationships/hyperlink" Target="https://whc.unesco.org/en/list/704/documents/" TargetMode="External"/><Relationship Id="rId25" Type="http://schemas.openxmlformats.org/officeDocument/2006/relationships/hyperlink" Target="https://whc.unesco.org/en/list/705/" TargetMode="External"/><Relationship Id="rId26" Type="http://schemas.openxmlformats.org/officeDocument/2006/relationships/hyperlink" Target="https://whc.unesco.org/en/list/705/documents/" TargetMode="External"/><Relationship Id="rId27" Type="http://schemas.openxmlformats.org/officeDocument/2006/relationships/hyperlink" Target="https://whc.unesco.org/en/list/707/" TargetMode="External"/><Relationship Id="rId28" Type="http://schemas.openxmlformats.org/officeDocument/2006/relationships/hyperlink" Target="https://whc.unesco.org/en/list/707/documents/" TargetMode="External"/><Relationship Id="rId29" Type="http://schemas.openxmlformats.org/officeDocument/2006/relationships/hyperlink" Target="https://whc.unesco.org/en/list/778/" TargetMode="External"/><Relationship Id="rId30" Type="http://schemas.openxmlformats.org/officeDocument/2006/relationships/hyperlink" Target="https://whc.unesco.org/en/list/778/documents/" TargetMode="External"/><Relationship Id="rId31" Type="http://schemas.openxmlformats.org/officeDocument/2006/relationships/hyperlink" Target="https://whc.unesco.org/en/list/779/" TargetMode="External"/><Relationship Id="rId32" Type="http://schemas.openxmlformats.org/officeDocument/2006/relationships/hyperlink" Target="https://whc.unesco.org/en/list/779/documents/" TargetMode="External"/><Relationship Id="rId33" Type="http://schemas.openxmlformats.org/officeDocument/2006/relationships/hyperlink" Target="https://whc.unesco.org/en/list/811/" TargetMode="External"/><Relationship Id="rId34" Type="http://schemas.openxmlformats.org/officeDocument/2006/relationships/hyperlink" Target="https://whc.unesco.org/en/list/811/documents/" TargetMode="External"/><Relationship Id="rId35" Type="http://schemas.openxmlformats.org/officeDocument/2006/relationships/hyperlink" Target="https://whc.unesco.org/en/list/812/" TargetMode="External"/><Relationship Id="rId36" Type="http://schemas.openxmlformats.org/officeDocument/2006/relationships/hyperlink" Target="https://whc.unesco.org/en/list/812/documents/" TargetMode="External"/><Relationship Id="rId37" Type="http://schemas.openxmlformats.org/officeDocument/2006/relationships/hyperlink" Target="https://whc.unesco.org/en/list/813/" TargetMode="External"/><Relationship Id="rId38" Type="http://schemas.openxmlformats.org/officeDocument/2006/relationships/hyperlink" Target="https://whc.unesco.org/en/list/813/documents/" TargetMode="External"/><Relationship Id="rId39" Type="http://schemas.openxmlformats.org/officeDocument/2006/relationships/hyperlink" Target="https://whc.unesco.org/en/list/880/" TargetMode="External"/><Relationship Id="rId40" Type="http://schemas.openxmlformats.org/officeDocument/2006/relationships/hyperlink" Target="https://whc.unesco.org/en/list/880/documents/" TargetMode="External"/><Relationship Id="rId41" Type="http://schemas.openxmlformats.org/officeDocument/2006/relationships/hyperlink" Target="https://whc.unesco.org/en/list/881/" TargetMode="External"/><Relationship Id="rId42" Type="http://schemas.openxmlformats.org/officeDocument/2006/relationships/hyperlink" Target="https://whc.unesco.org/en/list/881/documents/" TargetMode="External"/><Relationship Id="rId43" Type="http://schemas.openxmlformats.org/officeDocument/2006/relationships/hyperlink" Target="https://whc.unesco.org/en/list/911/" TargetMode="External"/><Relationship Id="rId44" Type="http://schemas.openxmlformats.org/officeDocument/2006/relationships/hyperlink" Target="https://whc.unesco.org/en/list/911/documents/" TargetMode="External"/><Relationship Id="rId45" Type="http://schemas.openxmlformats.org/officeDocument/2006/relationships/hyperlink" Target="https://whc.unesco.org/en/list/912/" TargetMode="External"/><Relationship Id="rId46" Type="http://schemas.openxmlformats.org/officeDocument/2006/relationships/hyperlink" Target="https://whc.unesco.org/en/list/912/documents/" TargetMode="External"/><Relationship Id="rId47" Type="http://schemas.openxmlformats.org/officeDocument/2006/relationships/hyperlink" Target="https://whc.unesco.org/en/list/1001/" TargetMode="External"/><Relationship Id="rId48" Type="http://schemas.openxmlformats.org/officeDocument/2006/relationships/hyperlink" Target="https://whc.unesco.org/en/list/1001/documents/" TargetMode="External"/><Relationship Id="rId49" Type="http://schemas.openxmlformats.org/officeDocument/2006/relationships/hyperlink" Target="https://whc.unesco.org/en/list/1002/" TargetMode="External"/><Relationship Id="rId50" Type="http://schemas.openxmlformats.org/officeDocument/2006/relationships/hyperlink" Target="https://whc.unesco.org/en/list/1002/documents/" TargetMode="External"/><Relationship Id="rId51" Type="http://schemas.openxmlformats.org/officeDocument/2006/relationships/hyperlink" Target="https://whc.unesco.org/en/list/1003/" TargetMode="External"/><Relationship Id="rId52" Type="http://schemas.openxmlformats.org/officeDocument/2006/relationships/hyperlink" Target="https://whc.unesco.org/en/list/1003/documents/" TargetMode="External"/><Relationship Id="rId53" Type="http://schemas.openxmlformats.org/officeDocument/2006/relationships/hyperlink" Target="https://whc.unesco.org/en/list/1004/" TargetMode="External"/><Relationship Id="rId54" Type="http://schemas.openxmlformats.org/officeDocument/2006/relationships/hyperlink" Target="https://whc.unesco.org/en/list/1004/documents/" TargetMode="External"/><Relationship Id="rId55" Type="http://schemas.openxmlformats.org/officeDocument/2006/relationships/hyperlink" Target="https://whc.unesco.org/en/list/1039/" TargetMode="External"/><Relationship Id="rId56" Type="http://schemas.openxmlformats.org/officeDocument/2006/relationships/hyperlink" Target="https://whc.unesco.org/en/list/1039/documents/" TargetMode="External"/><Relationship Id="rId57" Type="http://schemas.openxmlformats.org/officeDocument/2006/relationships/hyperlink" Target="https://whc.unesco.org/en/list/1083/" TargetMode="External"/><Relationship Id="rId58" Type="http://schemas.openxmlformats.org/officeDocument/2006/relationships/hyperlink" Target="https://whc.unesco.org/en/list/1083/documents/" TargetMode="External"/><Relationship Id="rId59" Type="http://schemas.openxmlformats.org/officeDocument/2006/relationships/hyperlink" Target="https://whc.unesco.org/en/list/1135/" TargetMode="External"/><Relationship Id="rId60" Type="http://schemas.openxmlformats.org/officeDocument/2006/relationships/hyperlink" Target="https://whc.unesco.org/en/list/1135/documents/" TargetMode="External"/><Relationship Id="rId61" Type="http://schemas.openxmlformats.org/officeDocument/2006/relationships/hyperlink" Target="https://whc.unesco.org/en/list/1110/" TargetMode="External"/><Relationship Id="rId62" Type="http://schemas.openxmlformats.org/officeDocument/2006/relationships/hyperlink" Target="https://whc.unesco.org/en/list/1110/documents/" TargetMode="External"/><Relationship Id="rId63" Type="http://schemas.openxmlformats.org/officeDocument/2006/relationships/hyperlink" Target="https://whc.unesco.org/en/list/1114/" TargetMode="External"/><Relationship Id="rId64" Type="http://schemas.openxmlformats.org/officeDocument/2006/relationships/hyperlink" Target="https://whc.unesco.org/en/list/1114/documents/" TargetMode="External"/><Relationship Id="rId65" Type="http://schemas.openxmlformats.org/officeDocument/2006/relationships/hyperlink" Target="https://whc.unesco.org/en/list/1213/" TargetMode="External"/><Relationship Id="rId66" Type="http://schemas.openxmlformats.org/officeDocument/2006/relationships/hyperlink" Target="https://whc.unesco.org/en/list/1213/documents/" TargetMode="External"/><Relationship Id="rId67" Type="http://schemas.openxmlformats.org/officeDocument/2006/relationships/hyperlink" Target="https://whc.unesco.org/en/list/1112/" TargetMode="External"/><Relationship Id="rId68" Type="http://schemas.openxmlformats.org/officeDocument/2006/relationships/hyperlink" Target="https://whc.unesco.org/en/list/1112/documents/" TargetMode="External"/><Relationship Id="rId69" Type="http://schemas.openxmlformats.org/officeDocument/2006/relationships/hyperlink" Target="https://whc.unesco.org/en/list/1248/" TargetMode="External"/><Relationship Id="rId70" Type="http://schemas.openxmlformats.org/officeDocument/2006/relationships/hyperlink" Target="https://whc.unesco.org/en/list/1248/documents/" TargetMode="External"/><Relationship Id="rId71" Type="http://schemas.openxmlformats.org/officeDocument/2006/relationships/hyperlink" Target="https://whc.unesco.org/en/list/1113/" TargetMode="External"/><Relationship Id="rId72" Type="http://schemas.openxmlformats.org/officeDocument/2006/relationships/hyperlink" Target="https://whc.unesco.org/en/list/1113/documents/" TargetMode="External"/><Relationship Id="rId73" Type="http://schemas.openxmlformats.org/officeDocument/2006/relationships/hyperlink" Target="https://whc.unesco.org/en/list/1292/" TargetMode="External"/><Relationship Id="rId74" Type="http://schemas.openxmlformats.org/officeDocument/2006/relationships/hyperlink" Target="https://whc.unesco.org/en/list/1292/documents/" TargetMode="External"/><Relationship Id="rId75" Type="http://schemas.openxmlformats.org/officeDocument/2006/relationships/hyperlink" Target="https://whc.unesco.org/en/list/1279/" TargetMode="External"/><Relationship Id="rId76" Type="http://schemas.openxmlformats.org/officeDocument/2006/relationships/hyperlink" Target="https://whc.unesco.org/en/list/1279/documents/" TargetMode="External"/><Relationship Id="rId77" Type="http://schemas.openxmlformats.org/officeDocument/2006/relationships/hyperlink" Target="https://whc.unesco.org/en/list/1305/" TargetMode="External"/><Relationship Id="rId78" Type="http://schemas.openxmlformats.org/officeDocument/2006/relationships/hyperlink" Target="https://whc.unesco.org/en/list/1305/documents/" TargetMode="External"/><Relationship Id="rId79" Type="http://schemas.openxmlformats.org/officeDocument/2006/relationships/hyperlink" Target="https://whc.unesco.org/en/list/1335/" TargetMode="External"/><Relationship Id="rId80" Type="http://schemas.openxmlformats.org/officeDocument/2006/relationships/hyperlink" Target="https://whc.unesco.org/en/list/1335/documents/" TargetMode="External"/><Relationship Id="rId81" Type="http://schemas.openxmlformats.org/officeDocument/2006/relationships/hyperlink" Target="https://whc.unesco.org/en/list/1334/" TargetMode="External"/><Relationship Id="rId82" Type="http://schemas.openxmlformats.org/officeDocument/2006/relationships/hyperlink" Target="https://whc.unesco.org/en/list/1334/documents/" TargetMode="External"/><Relationship Id="rId83" Type="http://schemas.openxmlformats.org/officeDocument/2006/relationships/hyperlink" Target="https://whc.unesco.org/en/list/1388/" TargetMode="External"/><Relationship Id="rId84" Type="http://schemas.openxmlformats.org/officeDocument/2006/relationships/hyperlink" Target="https://whc.unesco.org/en/list/1388/documents/" TargetMode="External"/><Relationship Id="rId85" Type="http://schemas.openxmlformats.org/officeDocument/2006/relationships/hyperlink" Target="https://whc.unesco.org/en/list/1389/" TargetMode="External"/><Relationship Id="rId86" Type="http://schemas.openxmlformats.org/officeDocument/2006/relationships/hyperlink" Target="https://whc.unesco.org/en/list/1389/documents/" TargetMode="External"/><Relationship Id="rId87" Type="http://schemas.openxmlformats.org/officeDocument/2006/relationships/hyperlink" Target="https://whc.unesco.org/en/list/1111/" TargetMode="External"/><Relationship Id="rId88" Type="http://schemas.openxmlformats.org/officeDocument/2006/relationships/hyperlink" Target="https://whc.unesco.org/en/list/1111/documents/" TargetMode="External"/><Relationship Id="rId89" Type="http://schemas.openxmlformats.org/officeDocument/2006/relationships/hyperlink" Target="https://whc.unesco.org/en/list/1414/" TargetMode="External"/><Relationship Id="rId90" Type="http://schemas.openxmlformats.org/officeDocument/2006/relationships/hyperlink" Target="https://whc.unesco.org/en/list/1414/documents/" TargetMode="External"/><Relationship Id="rId91" Type="http://schemas.openxmlformats.org/officeDocument/2006/relationships/hyperlink" Target="https://whc.unesco.org/en/list/1442/" TargetMode="External"/><Relationship Id="rId92" Type="http://schemas.openxmlformats.org/officeDocument/2006/relationships/hyperlink" Target="https://whc.unesco.org/en/list/1442/documents/" TargetMode="External"/><Relationship Id="rId93" Type="http://schemas.openxmlformats.org/officeDocument/2006/relationships/hyperlink" Target="https://whc.unesco.org/en/list/1443/" TargetMode="External"/><Relationship Id="rId94" Type="http://schemas.openxmlformats.org/officeDocument/2006/relationships/hyperlink" Target="https://whc.unesco.org/en/list/1443/documents/" TargetMode="External"/><Relationship Id="rId95" Type="http://schemas.openxmlformats.org/officeDocument/2006/relationships/hyperlink" Target="https://whc.unesco.org/en/list/1474/" TargetMode="External"/><Relationship Id="rId96" Type="http://schemas.openxmlformats.org/officeDocument/2006/relationships/hyperlink" Target="https://whc.unesco.org/en/list/1474/documents/" TargetMode="External"/><Relationship Id="rId97" Type="http://schemas.openxmlformats.org/officeDocument/2006/relationships/hyperlink" Target="https://whc.unesco.org/en/list/1508/" TargetMode="External"/><Relationship Id="rId98" Type="http://schemas.openxmlformats.org/officeDocument/2006/relationships/hyperlink" Target="https://whc.unesco.org/en/list/1508/documents/" TargetMode="External"/><Relationship Id="rId99" Type="http://schemas.openxmlformats.org/officeDocument/2006/relationships/hyperlink" Target="https://whc.unesco.org/en/list/1509/" TargetMode="External"/><Relationship Id="rId100" Type="http://schemas.openxmlformats.org/officeDocument/2006/relationships/hyperlink" Target="https://whc.unesco.org/en/list/1509/documents/" TargetMode="External"/><Relationship Id="rId101" Type="http://schemas.openxmlformats.org/officeDocument/2006/relationships/hyperlink" Target="https://whc.unesco.org/en/list/1540/" TargetMode="External"/><Relationship Id="rId102" Type="http://schemas.openxmlformats.org/officeDocument/2006/relationships/hyperlink" Target="https://whc.unesco.org/en/list/1540/documents/" TargetMode="External"/><Relationship Id="rId103" Type="http://schemas.openxmlformats.org/officeDocument/2006/relationships/hyperlink" Target="https://whc.unesco.org/en/list/1541/" TargetMode="External"/><Relationship Id="rId104" Type="http://schemas.openxmlformats.org/officeDocument/2006/relationships/hyperlink" Target="https://whc.unesco.org/en/list/1541/documents/" TargetMode="External"/><Relationship Id="rId105" Type="http://schemas.openxmlformats.org/officeDocument/2006/relationships/hyperlink" Target="https://whc.unesco.org/en/list/1559/" TargetMode="External"/><Relationship Id="rId106" Type="http://schemas.openxmlformats.org/officeDocument/2006/relationships/hyperlink" Target="https://whc.unesco.org/en/list/1559/documents/" TargetMode="External"/><Relationship Id="rId107" Type="http://schemas.openxmlformats.org/officeDocument/2006/relationships/hyperlink" Target="https://whc.unesco.org/en/list/1592/" TargetMode="External"/><Relationship Id="rId108" Type="http://schemas.openxmlformats.org/officeDocument/2006/relationships/hyperlink" Target="https://whc.unesco.org/en/list/1592/documents/" TargetMode="External"/><Relationship Id="rId109" Type="http://schemas.openxmlformats.org/officeDocument/2006/relationships/hyperlink" Target="https://whc.unesco.org/en/list/1606/" TargetMode="External"/><Relationship Id="rId110" Type="http://schemas.openxmlformats.org/officeDocument/2006/relationships/hyperlink" Target="https://whc.unesco.org/en/list/1606/documents/" TargetMode="External"/><Relationship Id="rId111" Type="http://schemas.openxmlformats.org/officeDocument/2006/relationships/hyperlink" Target="https://whc.unesco.org/en/list/1561/" TargetMode="External"/><Relationship Id="rId112" Type="http://schemas.openxmlformats.org/officeDocument/2006/relationships/hyperlink" Target="https://whc.unesco.org/en/list/1561/documents/" TargetMode="External"/><Relationship Id="rId113" Type="http://schemas.openxmlformats.org/officeDocument/2006/relationships/hyperlink" Target="https://whc.unesco.org/en/list/1665/" TargetMode="External"/><Relationship Id="rId114" Type="http://schemas.openxmlformats.org/officeDocument/2006/relationships/hyperlink" Target="https://whc.unesco.org/en/list/1665/documents/" TargetMode="External"/><Relationship Id="rId115" Type="http://schemas.openxmlformats.org/officeDocument/2006/relationships/hyperlink" Target="https://whc.unesco.org/en/list/1638/" TargetMode="External"/><Relationship Id="rId116" Type="http://schemas.openxmlformats.org/officeDocument/2006/relationships/hyperlink" Target="https://whc.unesco.org/en/list/1638/documents/" TargetMode="External"/><Relationship Id="rId117" Type="http://schemas.openxmlformats.org/officeDocument/2006/relationships/hyperlink" Target="https://whc.unesco.org/en/list/1714/" TargetMode="External"/><Relationship Id="rId118" Type="http://schemas.openxmlformats.org/officeDocument/2006/relationships/hyperlink" Target="https://whc.unesco.org/en/list/1714/documents/" TargetMode="External"/><Relationship Id="rId119" Type="http://schemas.openxmlformats.org/officeDocument/2006/relationships/hyperlink" Target="https://whc.unesco.org/en/list/1736/" TargetMode="External"/><Relationship Id="rId120" Type="http://schemas.openxmlformats.org/officeDocument/2006/relationships/hyperlink" Target="https://whc.unesco.org/en/list/1736/documents/" TargetMode="External"/><Relationship Id="rId121" Type="http://schemas.openxmlformats.org/officeDocument/2006/relationships/hyperlink" Target="https://whc.unesco.org/en/list/1765/" TargetMode="External"/><Relationship Id="rId122" Type="http://schemas.openxmlformats.org/officeDocument/2006/relationships/hyperlink" Target="https://whc.unesco.org/en/list/1765/documents/" TargetMode="External"/><Relationship Id="rId123"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hc.unesco.org/en/tentativelists/105/" TargetMode="External"/><Relationship Id="rId2" Type="http://schemas.openxmlformats.org/officeDocument/2006/relationships/hyperlink" Target="https://whc.unesco.org/en/tentativelists/106/" TargetMode="External"/><Relationship Id="rId3" Type="http://schemas.openxmlformats.org/officeDocument/2006/relationships/hyperlink" Target="https://whc.unesco.org/en/tentativelists/107/" TargetMode="External"/><Relationship Id="rId4" Type="http://schemas.openxmlformats.org/officeDocument/2006/relationships/hyperlink" Target="https://whc.unesco.org/en/tentativelists/108/" TargetMode="External"/><Relationship Id="rId5" Type="http://schemas.openxmlformats.org/officeDocument/2006/relationships/hyperlink" Target="https://whc.unesco.org/en/tentativelists/1622/" TargetMode="External"/><Relationship Id="rId6" Type="http://schemas.openxmlformats.org/officeDocument/2006/relationships/hyperlink" Target="https://whc.unesco.org/en/tentativelists/1623/" TargetMode="External"/><Relationship Id="rId7" Type="http://schemas.openxmlformats.org/officeDocument/2006/relationships/hyperlink" Target="https://whc.unesco.org/en/tentativelists/1624/" TargetMode="External"/><Relationship Id="rId8" Type="http://schemas.openxmlformats.org/officeDocument/2006/relationships/hyperlink" Target="https://whc.unesco.org/en/tentativelists/1625/" TargetMode="External"/><Relationship Id="rId9" Type="http://schemas.openxmlformats.org/officeDocument/2006/relationships/hyperlink" Target="https://whc.unesco.org/en/tentativelists/1626/" TargetMode="External"/><Relationship Id="rId10" Type="http://schemas.openxmlformats.org/officeDocument/2006/relationships/hyperlink" Target="https://whc.unesco.org/en/tentativelists/1627/" TargetMode="External"/><Relationship Id="rId11" Type="http://schemas.openxmlformats.org/officeDocument/2006/relationships/hyperlink" Target="https://whc.unesco.org/en/tentativelists/1629/" TargetMode="External"/><Relationship Id="rId12" Type="http://schemas.openxmlformats.org/officeDocument/2006/relationships/hyperlink" Target="https://whc.unesco.org/en/tentativelists/1631/" TargetMode="External"/><Relationship Id="rId13" Type="http://schemas.openxmlformats.org/officeDocument/2006/relationships/hyperlink" Target="https://whc.unesco.org/en/tentativelists/1632/" TargetMode="External"/><Relationship Id="rId14" Type="http://schemas.openxmlformats.org/officeDocument/2006/relationships/hyperlink" Target="https://whc.unesco.org/en/tentativelists/1633/" TargetMode="External"/><Relationship Id="rId15" Type="http://schemas.openxmlformats.org/officeDocument/2006/relationships/hyperlink" Target="https://whc.unesco.org/en/tentativelists/1634/" TargetMode="External"/><Relationship Id="rId16" Type="http://schemas.openxmlformats.org/officeDocument/2006/relationships/hyperlink" Target="https://whc.unesco.org/en/tentativelists/5320/" TargetMode="External"/><Relationship Id="rId17" Type="http://schemas.openxmlformats.org/officeDocument/2006/relationships/hyperlink" Target="https://whc.unesco.org/en/tentativelists/5322/" TargetMode="External"/><Relationship Id="rId18" Type="http://schemas.openxmlformats.org/officeDocument/2006/relationships/hyperlink" Target="https://whc.unesco.org/en/tentativelists/5324/" TargetMode="External"/><Relationship Id="rId19" Type="http://schemas.openxmlformats.org/officeDocument/2006/relationships/hyperlink" Target="https://whc.unesco.org/en/tentativelists/5327/" TargetMode="External"/><Relationship Id="rId20" Type="http://schemas.openxmlformats.org/officeDocument/2006/relationships/hyperlink" Target="https://whc.unesco.org/en/tentativelists/5328/" TargetMode="External"/><Relationship Id="rId21" Type="http://schemas.openxmlformats.org/officeDocument/2006/relationships/hyperlink" Target="https://whc.unesco.org/en/tentativelists/5335/" TargetMode="External"/><Relationship Id="rId22" Type="http://schemas.openxmlformats.org/officeDocument/2006/relationships/hyperlink" Target="https://whc.unesco.org/en/tentativelists/5337/" TargetMode="External"/><Relationship Id="rId23" Type="http://schemas.openxmlformats.org/officeDocument/2006/relationships/hyperlink" Target="https://whc.unesco.org/en/tentativelists/5338/" TargetMode="External"/><Relationship Id="rId24" Type="http://schemas.openxmlformats.org/officeDocument/2006/relationships/hyperlink" Target="https://whc.unesco.org/en/tentativelists/5341/" TargetMode="External"/><Relationship Id="rId25" Type="http://schemas.openxmlformats.org/officeDocument/2006/relationships/hyperlink" Target="https://whc.unesco.org/en/tentativelists/5344/" TargetMode="External"/><Relationship Id="rId26" Type="http://schemas.openxmlformats.org/officeDocument/2006/relationships/hyperlink" Target="https://whc.unesco.org/en/tentativelists/5347/" TargetMode="External"/><Relationship Id="rId27" Type="http://schemas.openxmlformats.org/officeDocument/2006/relationships/hyperlink" Target="https://whc.unesco.org/en/tentativelists/5351/" TargetMode="External"/><Relationship Id="rId28" Type="http://schemas.openxmlformats.org/officeDocument/2006/relationships/hyperlink" Target="https://whc.unesco.org/en/tentativelists/5353/" TargetMode="External"/><Relationship Id="rId29" Type="http://schemas.openxmlformats.org/officeDocument/2006/relationships/hyperlink" Target="https://whc.unesco.org/en/tentativelists/5532/" TargetMode="External"/><Relationship Id="rId30" Type="http://schemas.openxmlformats.org/officeDocument/2006/relationships/hyperlink" Target="https://whc.unesco.org/en/tentativelists/5533/" TargetMode="External"/><Relationship Id="rId31" Type="http://schemas.openxmlformats.org/officeDocument/2006/relationships/hyperlink" Target="https://whc.unesco.org/en/tentativelists/5535/" TargetMode="External"/><Relationship Id="rId32" Type="http://schemas.openxmlformats.org/officeDocument/2006/relationships/hyperlink" Target="https://whc.unesco.org/en/tentativelists/5803/" TargetMode="External"/><Relationship Id="rId33" Type="http://schemas.openxmlformats.org/officeDocument/2006/relationships/hyperlink" Target="https://whc.unesco.org/en/tentativelists/5804/" TargetMode="External"/><Relationship Id="rId34" Type="http://schemas.openxmlformats.org/officeDocument/2006/relationships/hyperlink" Target="https://whc.unesco.org/en/tentativelists/5806/" TargetMode="External"/><Relationship Id="rId35" Type="http://schemas.openxmlformats.org/officeDocument/2006/relationships/hyperlink" Target="https://whc.unesco.org/en/tentativelists/5808/" TargetMode="External"/><Relationship Id="rId36" Type="http://schemas.openxmlformats.org/officeDocument/2006/relationships/hyperlink" Target="https://whc.unesco.org/en/tentativelists/5813/" TargetMode="External"/><Relationship Id="rId37" Type="http://schemas.openxmlformats.org/officeDocument/2006/relationships/hyperlink" Target="https://whc.unesco.org/en/tentativelists/5814/" TargetMode="External"/><Relationship Id="rId38" Type="http://schemas.openxmlformats.org/officeDocument/2006/relationships/hyperlink" Target="https://whc.unesco.org/en/tentativelists/5815/" TargetMode="External"/><Relationship Id="rId39" Type="http://schemas.openxmlformats.org/officeDocument/2006/relationships/hyperlink" Target="https://whc.unesco.org/en/tentativelists/5816/" TargetMode="External"/><Relationship Id="rId40" Type="http://schemas.openxmlformats.org/officeDocument/2006/relationships/hyperlink" Target="https://whc.unesco.org/en/tentativelists/5989/" TargetMode="External"/><Relationship Id="rId41" Type="http://schemas.openxmlformats.org/officeDocument/2006/relationships/hyperlink" Target="https://whc.unesco.org/en/tentativelists/5990/" TargetMode="External"/><Relationship Id="rId42" Type="http://schemas.openxmlformats.org/officeDocument/2006/relationships/hyperlink" Target="https://whc.unesco.org/en/tentativelists/5992/" TargetMode="External"/><Relationship Id="rId43" Type="http://schemas.openxmlformats.org/officeDocument/2006/relationships/hyperlink" Target="https://whc.unesco.org/en/tentativelists/5993/" TargetMode="External"/><Relationship Id="rId44" Type="http://schemas.openxmlformats.org/officeDocument/2006/relationships/hyperlink" Target="https://whc.unesco.org/en/tentativelists/5994/" TargetMode="External"/><Relationship Id="rId45" Type="http://schemas.openxmlformats.org/officeDocument/2006/relationships/hyperlink" Target="https://whc.unesco.org/en/tentativelists/5995/" TargetMode="External"/><Relationship Id="rId46" Type="http://schemas.openxmlformats.org/officeDocument/2006/relationships/hyperlink" Target="https://whc.unesco.org/en/tentativelists/6093/" TargetMode="External"/><Relationship Id="rId47" Type="http://schemas.openxmlformats.org/officeDocument/2006/relationships/hyperlink" Target="https://whc.unesco.org/en/tentativelists/6184/" TargetMode="External"/><Relationship Id="rId48" Type="http://schemas.openxmlformats.org/officeDocument/2006/relationships/hyperlink" Target="https://whc.unesco.org/en/tentativelists/6185/" TargetMode="External"/><Relationship Id="rId49" Type="http://schemas.openxmlformats.org/officeDocument/2006/relationships/hyperlink" Target="https://whc.unesco.org/en/tentativelists/6186/" TargetMode="External"/><Relationship Id="rId50" Type="http://schemas.openxmlformats.org/officeDocument/2006/relationships/hyperlink" Target="https://whc.unesco.org/en/tentativelists/6187/" TargetMode="External"/><Relationship Id="rId51" Type="http://schemas.openxmlformats.org/officeDocument/2006/relationships/hyperlink" Target="https://whc.unesco.org/en/tentativelists/6188/" TargetMode="External"/><Relationship Id="rId52" Type="http://schemas.openxmlformats.org/officeDocument/2006/relationships/hyperlink" Target="https://whc.unesco.org/en/tentativelists/6190/" TargetMode="External"/><Relationship Id="rId53" Type="http://schemas.openxmlformats.org/officeDocument/2006/relationships/hyperlink" Target="https://whc.unesco.org/en/tentativelists/6380/" TargetMode="External"/><Relationship Id="rId54" Type="http://schemas.openxmlformats.org/officeDocument/2006/relationships/hyperlink" Target="https://whc.unesco.org/en/tentativelists/6381/" TargetMode="External"/><Relationship Id="rId55" Type="http://schemas.openxmlformats.org/officeDocument/2006/relationships/hyperlink" Target="https://whc.unesco.org/en/tentativelists/6582/" TargetMode="External"/><Relationship Id="rId56" Type="http://schemas.openxmlformats.org/officeDocument/2006/relationships/hyperlink" Target="https://whc.unesco.org/en/tentativelists/6619/" TargetMode="External"/><Relationship Id="rId57" Type="http://schemas.openxmlformats.org/officeDocument/2006/relationships/hyperlink" Target="https://whc.unesco.org/en/tentativelists/6768/" TargetMode="External"/><Relationship Id="rId58" Type="http://schemas.openxmlformats.org/officeDocument/2006/relationships/hyperlink" Target="https://whc.unesco.org/en/tentativelists/6840/" TargetMode="External"/><Relationship Id="rId59" Type="http://schemas.openxmlformats.org/officeDocument/2006/relationships/hyperlink" Target="https://whc.unesco.org/en/tentativelists/6841/" TargetMode="External"/><Relationship Id="rId60" Type="http://schemas.openxmlformats.org/officeDocument/2006/relationships/hyperlink" Target="https://whc.unesco.org/en/tentativelists/7021/" TargetMode="External"/><Relationship Id="rId6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hc.unesco.org/en/list/1223/" TargetMode="External"/><Relationship Id="rId2" Type="http://schemas.openxmlformats.org/officeDocument/2006/relationships/hyperlink" Target="https://whc.unesco.org/en/list/948/" TargetMode="External"/><Relationship Id="rId3" Type="http://schemas.openxmlformats.org/officeDocument/2006/relationships/hyperlink" Target="https://whc.unesco.org/en/list/1610/" TargetMode="External"/><Relationship Id="rId4" Type="http://schemas.openxmlformats.org/officeDocument/2006/relationships/hyperlink" Target="https://whc.unesco.org/en/list/502/" TargetMode="External"/><Relationship Id="rId5" Type="http://schemas.openxmlformats.org/officeDocument/2006/relationships/hyperlink" Target="https://whc.unesco.org/en/list/677/" TargetMode="External"/><Relationship Id="rId6" Type="http://schemas.openxmlformats.org/officeDocument/2006/relationships/hyperlink" Target="https://whc.unesco.org/en/list/1328/" TargetMode="External"/><Relationship Id="rId7" Type="http://schemas.openxmlformats.org/officeDocument/2006/relationships/hyperlink" Target="https://whc.unesco.org/en/list/1091/" TargetMode="External"/><Relationship Id="rId8" Type="http://schemas.openxmlformats.org/officeDocument/2006/relationships/hyperlink" Target="https://whc.unesco.org/en/list/1537/" TargetMode="External"/><Relationship Id="rId9" Type="http://schemas.openxmlformats.org/officeDocument/2006/relationships/hyperlink" Target="https://whc.unesco.org/en/list/144/" TargetMode="External"/><Relationship Id="rId10" Type="http://schemas.openxmlformats.org/officeDocument/2006/relationships/hyperlink" Target="https://whc.unesco.org/en/list/365/" TargetMode="External"/><Relationship Id="rId11" Type="http://schemas.openxmlformats.org/officeDocument/2006/relationships/hyperlink" Target="https://whc.unesco.org/en/list/1246/" TargetMode="External"/><Relationship Id="rId12" Type="http://schemas.openxmlformats.org/officeDocument/2006/relationships/hyperlink" Target="https://whc.unesco.org/en/list/972/" TargetMode="External"/><Relationship Id="rId13" Type="http://schemas.openxmlformats.org/officeDocument/2006/relationships/hyperlink" Target="https://whc.unesco.org/en/list/660/" TargetMode="External"/><Relationship Id="rId14" Type="http://schemas.openxmlformats.org/officeDocument/2006/relationships/hyperlink" Target="https://whc.unesco.org/en/list/688/" TargetMode="External"/><Relationship Id="rId15" Type="http://schemas.openxmlformats.org/officeDocument/2006/relationships/hyperlink" Target="https://whc.unesco.org/en/list/870/" TargetMode="External"/><Relationship Id="rId16" Type="http://schemas.openxmlformats.org/officeDocument/2006/relationships/hyperlink" Target="https://whc.unesco.org/en/list/1142/" TargetMode="External"/><Relationship Id="rId17" Type="http://schemas.openxmlformats.org/officeDocument/2006/relationships/hyperlink" Target="https://whc.unesco.org/en/list/1757/" TargetMode="External"/><Relationship Id="rId18" Type="http://schemas.openxmlformats.org/officeDocument/2006/relationships/hyperlink" Target="https://whc.unesco.org/en/list/1477/" TargetMode="External"/><Relationship Id="rId19" Type="http://schemas.openxmlformats.org/officeDocument/2006/relationships/hyperlink" Target="https://whc.unesco.org/en/list/1498/" TargetMode="External"/><Relationship Id="rId20" Type="http://schemas.openxmlformats.org/officeDocument/2006/relationships/hyperlink" Target="https://whc.unesco.org/en/list/1439/" TargetMode="External"/><Relationship Id="rId21" Type="http://schemas.openxmlformats.org/officeDocument/2006/relationships/hyperlink" Target="https://whc.unesco.org/en/list/559/" TargetMode="External"/><Relationship Id="rId22" Type="http://schemas.openxmlformats.org/officeDocument/2006/relationships/hyperlink" Target="https://whc.unesco.org/en/list/1759/" TargetMode="External"/><Relationship Id="rId23" Type="http://schemas.openxmlformats.org/officeDocument/2006/relationships/hyperlink" Target="https://whc.unesco.org/en/list/1675/" TargetMode="External"/><Relationship Id="rId24" Type="http://schemas.openxmlformats.org/officeDocument/2006/relationships/hyperlink" Target="https://whc.unesco.org/en/list/1346/" TargetMode="External"/><Relationship Id="rId25" Type="http://schemas.openxmlformats.org/officeDocument/2006/relationships/hyperlink" Target="https://whc.unesco.org/en/list/1544/" TargetMode="External"/><Relationship Id="rId26" Type="http://schemas.openxmlformats.org/officeDocument/2006/relationships/hyperlink" Target="https://whc.unesco.org/en/list/1230/" TargetMode="External"/><Relationship Id="rId27" Type="http://schemas.openxmlformats.org/officeDocument/2006/relationships/hyperlink" Target="https://whc.unesco.org/en/list/1627/" TargetMode="External"/><Relationship Id="rId28" Type="http://schemas.openxmlformats.org/officeDocument/2006/relationships/hyperlink" Target="https://whc.unesco.org/en/list/1518/" TargetMode="External"/><Relationship Id="rId29" Type="http://schemas.openxmlformats.org/officeDocument/2006/relationships/hyperlink" Target="https://whc.unesco.org/en/list/208/" TargetMode="External"/><Relationship Id="rId30" Type="http://schemas.openxmlformats.org/officeDocument/2006/relationships/hyperlink" Target="https://whc.unesco.org/en/list/1448/" TargetMode="External"/><Relationship Id="rId31" Type="http://schemas.openxmlformats.org/officeDocument/2006/relationships/hyperlink" Target="https://whc.unesco.org/en/list/340/" TargetMode="External"/><Relationship Id="rId32" Type="http://schemas.openxmlformats.org/officeDocument/2006/relationships/hyperlink" Target="https://whc.unesco.org/en/list/1012/" TargetMode="External"/><Relationship Id="rId33" Type="http://schemas.openxmlformats.org/officeDocument/2006/relationships/hyperlink" Target="https://whc.unesco.org/en/list/1574/" TargetMode="External"/><Relationship Id="rId3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https://ich.unesco.org/en/RL/ong-chun-wangchuan-wangkang-ceremony-rituals-and-related-practices-for-maintaining-the-sustainable-connection-between-man-and-the-ocean-01608" TargetMode="External"/><Relationship Id="rId2" Type="http://schemas.openxmlformats.org/officeDocument/2006/relationships/hyperlink" Target="https://ich.unesco.org/en/RL/urtiin-duu-traditional-folk-long-song-00115" TargetMode="External"/><Relationship Id="rId3" Type="http://schemas.openxmlformats.org/officeDocument/2006/relationships/hyperlink" Target="https://ich.unesco.org/en/RL/mongolian-art-of-singing-khoomei-00210" TargetMode="External"/><Relationship Id="rId4" Type="http://schemas.openxmlformats.org/officeDocument/2006/relationships/hyperlink" Target="https://ich.unesco.org/en/state/china-CN?info=elements-on-the-lists" TargetMode="External"/><Relationship Id="rId5" Type="http://schemas.openxmlformats.org/officeDocument/2006/relationships/hyperlink" Target="https://ich.unesco.org/en/state/china-CN?info=elements-on-the-lists" TargetMode="External"/><Relationship Id="rId6" Type="http://schemas.openxmlformats.org/officeDocument/2006/relationships/hyperlink" Target="https://ich.unesco.org/en/state/china-CN?info=elements-on-the-lists" TargetMode="External"/><Relationship Id="rId7" Type="http://schemas.openxmlformats.org/officeDocument/2006/relationships/hyperlink" Target="https://www.unesco.org/en/memory-world/qiaopi-and-yinxin-correspondence-and-remittance-documents-overseas-chinese" TargetMode="External"/><Relationship Id="rId8" Type="http://schemas.openxmlformats.org/officeDocument/2006/relationships/hyperlink" Target="https://en.unesco.org/silkroad" TargetMode="External"/><Relationship Id="rId9" Type="http://schemas.openxmlformats.org/officeDocument/2006/relationships/hyperlink" Target="https://southsouth-galaxy.org/solution/safeguarding-world-heritage-along-the-silk-roads/" TargetMode="External"/><Relationship Id="rId10" Type="http://schemas.openxmlformats.org/officeDocument/2006/relationships/hyperlink" Target="https://whitrap.pku.edu.cn/About_us/Introduction_Center.htm" TargetMode="External"/><Relationship Id="rId1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https://whc.unesco.org/uploads/nominations/1442.pdf" TargetMode="External"/><Relationship Id="rId2" Type="http://schemas.openxmlformats.org/officeDocument/2006/relationships/hyperlink" Target="https://whc.unesco.org/document/152690" TargetMode="External"/><Relationship Id="rId3" Type="http://schemas.openxmlformats.org/officeDocument/2006/relationships/hyperlink" Target="https://whc.unesco.org/document/132728" TargetMode="External"/><Relationship Id="rId4" Type="http://schemas.openxmlformats.org/officeDocument/2006/relationships/hyperlink" Target="https://whc.unesco.org/en/decisions/6110" TargetMode="External"/><Relationship Id="rId5" Type="http://schemas.openxmlformats.org/officeDocument/2006/relationships/hyperlink" Target="https://whc.unesco.org/en/decisions/6699" TargetMode="External"/><Relationship Id="rId6" Type="http://schemas.openxmlformats.org/officeDocument/2006/relationships/hyperlink" Target="https://whc.unesco.org/en/decisions/7087" TargetMode="External"/><Relationship Id="rId7" Type="http://schemas.openxmlformats.org/officeDocument/2006/relationships/hyperlink" Target="https://whc.unesco.org/en/decisions/7234" TargetMode="External"/><Relationship Id="rId8" Type="http://schemas.openxmlformats.org/officeDocument/2006/relationships/hyperlink" Target="https://whc.unesco.org/en/decisions/7740" TargetMode="External"/><Relationship Id="rId9" Type="http://schemas.openxmlformats.org/officeDocument/2006/relationships/hyperlink" Target="https://whc.unesco.org/en/decisions/8160" TargetMode="External"/><Relationship Id="rId10" Type="http://schemas.openxmlformats.org/officeDocument/2006/relationships/hyperlink" Target="https://whc.unesco.org/en/decisions/8791" TargetMode="External"/><Relationship Id="rId11" Type="http://schemas.openxmlformats.org/officeDocument/2006/relationships/hyperlink" Target="https://whc.unesco.org/document/142401" TargetMode="External"/><Relationship Id="rId12" Type="http://schemas.openxmlformats.org/officeDocument/2006/relationships/hyperlink" Target="https://whc.unesco.org/document/158586" TargetMode="External"/><Relationship Id="rId13" Type="http://schemas.openxmlformats.org/officeDocument/2006/relationships/hyperlink" Target="https://whc.unesco.org/document/217919" TargetMode="External"/><Relationship Id="rId14" Type="http://schemas.openxmlformats.org/officeDocument/2006/relationships/hyperlink" Target="https://whc.unesco.org/document/218280" TargetMode="External"/><Relationship Id="rId15" Type="http://schemas.openxmlformats.org/officeDocument/2006/relationships/hyperlink" Target="https://whc.unesco.org/document/180694" TargetMode="External"/><Relationship Id="rId16" Type="http://schemas.openxmlformats.org/officeDocument/2006/relationships/hyperlink" Target="https://whc.unesco.org/document/166338" TargetMode="External"/><Relationship Id="rId17" Type="http://schemas.openxmlformats.org/officeDocument/2006/relationships/hyperlink" Target="https://whc.unesco.org/document/156862" TargetMode="External"/><Relationship Id="rId18" Type="http://schemas.openxmlformats.org/officeDocument/2006/relationships/hyperlink" Target="https://whc.unesco.org/document/165239" TargetMode="External"/><Relationship Id="rId19" Type="http://schemas.openxmlformats.org/officeDocument/2006/relationships/hyperlink" Target="https://whc.unesco.org/document/139846" TargetMode="External"/><Relationship Id="rId20" Type="http://schemas.openxmlformats.org/officeDocument/2006/relationships/hyperlink" Target="https://whc.unesco.org/document/139897" TargetMode="External"/><Relationship Id="rId21" Type="http://schemas.openxmlformats.org/officeDocument/2006/relationships/hyperlink" Target="https://whc.unesco.org/document/139854" TargetMode="External"/><Relationship Id="rId22"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https://whc.unesco.org/en/list/xml/" TargetMode="External"/><Relationship Id="rId2" Type="http://schemas.openxmlformats.org/officeDocument/2006/relationships/hyperlink" Target="https://whc.unesco.org/zh/list/xml/" TargetMode="External"/><Relationship Id="rId3" Type="http://schemas.openxmlformats.org/officeDocument/2006/relationships/hyperlink" Target="https://whc.unesco.org/en/syndication" TargetMode="External"/><Relationship Id="rId4" Type="http://schemas.openxmlformats.org/officeDocument/2006/relationships/hyperlink" Target="https://whc.unesco.org/en/list/1223/" TargetMode="External"/><Relationship Id="rId5" Type="http://schemas.openxmlformats.org/officeDocument/2006/relationships/hyperlink" Target="https://whc.unesco.org/en/list/1442/documents/" TargetMode="External"/><Relationship Id="rId6" Type="http://schemas.openxmlformats.org/officeDocument/2006/relationships/hyperlink" Target="https://whc.unesco.org/en/statesparties/cn" TargetMode="External"/><Relationship Id="rId7" Type="http://schemas.openxmlformats.org/officeDocument/2006/relationships/hyperlink" Target="https://whc.unesco.org/en/decisions/" TargetMode="External"/><Relationship Id="rId8" Type="http://schemas.openxmlformats.org/officeDocument/2006/relationships/hyperlink" Target="https://ich.unesco.org/en/state/china-CN?info=elements-on-the-lists" TargetMode="External"/><Relationship Id="rId9" Type="http://schemas.openxmlformats.org/officeDocument/2006/relationships/hyperlink" Target="https://www.unesco.org/en/memory-world" TargetMode="External"/><Relationship Id="rId10" Type="http://schemas.openxmlformats.org/officeDocument/2006/relationships/hyperlink" Target="https://www.wikidata.org/" TargetMode="External"/><Relationship Id="rId1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http://www.ncha.gov.cn/" TargetMode="External"/><Relationship Id="rId2" Type="http://schemas.openxmlformats.org/officeDocument/2006/relationships/hyperlink" Target="http://www.ncha.gov.cn/art/2026/7/29/art_2318_48456.html" TargetMode="External"/><Relationship Id="rId3" Type="http://schemas.openxmlformats.org/officeDocument/2006/relationships/hyperlink" Target="https://www.mct.gov.cn/" TargetMode="External"/><Relationship Id="rId4" Type="http://schemas.openxmlformats.org/officeDocument/2006/relationships/hyperlink" Target="https://www.ihchina.cn/project.html" TargetMode="External"/><Relationship Id="rId5" Type="http://schemas.openxmlformats.org/officeDocument/2006/relationships/hyperlink" Target="https://kh.china-embassy.gov.cn/" TargetMode="External"/><Relationship Id="rId6" Type="http://schemas.openxmlformats.org/officeDocument/2006/relationships/hyperlink" Target="https://www.chinanews.com.cn/gj/2022/08-29/9839659.shtml" TargetMode="External"/><Relationship Id="rId7" Type="http://schemas.openxmlformats.org/officeDocument/2006/relationships/hyperlink" Target="https://www.cssn.cn/skgz/bwyc/202605/t20260522_5992725.shtml" TargetMode="External"/><Relationship Id="rId8" Type="http://schemas.openxmlformats.org/officeDocument/2006/relationships/hyperlink" Target="https://www.chinanews.com.cn/sh/2026/09-24/10703295.shtml" TargetMode="External"/><Relationship Id="rId9" Type="http://schemas.openxmlformats.org/officeDocument/2006/relationships/hyperlink" Target="https://english.www.gov.cn/news/202304/25/content_WS6447673dc6d03ffcca6ec9ee.html" TargetMode="External"/><Relationship Id="rId10" Type="http://schemas.openxmlformats.org/officeDocument/2006/relationships/hyperlink" Target="https://www.yidaiyilu.gov.cn/" TargetMode="External"/><Relationship Id="rId11" Type="http://schemas.openxmlformats.org/officeDocument/2006/relationships/hyperlink" Target="https://hqhryj.jnu.edu.cn/5535/list.htm" TargetMode="External"/><Relationship Id="rId12" Type="http://schemas.openxmlformats.org/officeDocument/2006/relationships/hyperlink" Target="https://www.cnki.net/" TargetMode="External"/><Relationship Id="rId13"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http://www.ncha.gov.cn/art/2017/2/27/art_2237_43663.html" TargetMode="External"/><Relationship Id="rId2" Type="http://schemas.openxmlformats.org/officeDocument/2006/relationships/hyperlink" Target="http://www.ncha.gov.cn/art/2017/2/27/art_2237_43663.html" TargetMode="External"/><Relationship Id="rId3" Type="http://schemas.openxmlformats.org/officeDocument/2006/relationships/hyperlink" Target="https://www.ndrc.gov.cn/fggz/fzzlgh/gjjzxgh/202112/t20211201_1306596.html" TargetMode="External"/><Relationship Id="rId4" Type="http://schemas.openxmlformats.org/officeDocument/2006/relationships/hyperlink" Target="http://www.ncha.gov.cn/art/2021/10/25/art_722_171543.html" TargetMode="External"/><Relationship Id="rId5" Type="http://schemas.openxmlformats.org/officeDocument/2006/relationships/hyperlink" Target="http://www.ncha.gov.cn/art/2022/2/18/art_722_173029.html" TargetMode="External"/><Relationship Id="rId6" Type="http://schemas.openxmlformats.org/officeDocument/2006/relationships/hyperlink" Target="http://www.ncha.gov.cn/art/2026/7/29/art_2318_48456.html" TargetMode="External"/><Relationship Id="rId7" Type="http://schemas.openxmlformats.org/officeDocument/2006/relationships/hyperlink" Target="http://www.ncha.gov.cn/art/2026/7/29/art_2318_48456.html" TargetMode="External"/><Relationship Id="rId8" Type="http://schemas.openxmlformats.org/officeDocument/2006/relationships/hyperlink" Target="http://www.ncha.gov.cn/art/2026/7/29/art_2318_48456.html" TargetMode="External"/><Relationship Id="rId9" Type="http://schemas.openxmlformats.org/officeDocument/2006/relationships/hyperlink" Target="http://www.ncha.gov.cn/art/2026/7/29/art_2318_48456.html" TargetMode="External"/><Relationship Id="rId10" Type="http://schemas.openxmlformats.org/officeDocument/2006/relationships/hyperlink" Target="http://www.ncha.gov.cn/art/2026/7/29/art_2318_48456.html" TargetMode="External"/><Relationship Id="rId11" Type="http://schemas.openxmlformats.org/officeDocument/2006/relationships/hyperlink" Target="https://www.chinanews.com.cn/sh/2026/09-24/10703295.shtml" TargetMode="External"/><Relationship Id="rId12" Type="http://schemas.openxmlformats.org/officeDocument/2006/relationships/hyperlink" Target="https://www.cssn.cn/skgz/bwyc/202605/t20260522_5992725.shtml" TargetMode="External"/><Relationship Id="rId13" Type="http://schemas.openxmlformats.org/officeDocument/2006/relationships/hyperlink" Target="https://kh.china-embassy.gov.cn/dssghd/202609/t20260908_12018158.htm" TargetMode="External"/><Relationship Id="rId14" Type="http://schemas.openxmlformats.org/officeDocument/2006/relationships/hyperlink" Target="https://my.china-embassy.gov.cn/sgxx/dsjh/201611/t20161105_1790289.htm" TargetMode="External"/><Relationship Id="rId15" Type="http://schemas.openxmlformats.org/officeDocument/2006/relationships/hyperlink" Target="https://my.china-embassy.gov.cn/sgxx/dsjh/201611/t20161105_1790289.htm" TargetMode="External"/><Relationship Id="rId16" Type="http://schemas.openxmlformats.org/officeDocument/2006/relationships/hyperlink" Target="https://ke.china-embassy.gov.cn/sgxx/dszs_145423/202402/t20240223_11249135.htm" TargetMode="External"/><Relationship Id="rId17" Type="http://schemas.openxmlformats.org/officeDocument/2006/relationships/hyperlink" Target="https://www.ihchina.cn/project.html" TargetMode="External"/><Relationship Id="rId18" Type="http://schemas.openxmlformats.org/officeDocument/2006/relationships/hyperlink" Target="https://www.ihchina.cn/project.html" TargetMode="External"/><Relationship Id="rId19" Type="http://schemas.openxmlformats.org/officeDocument/2006/relationships/hyperlink" Target="https://www.ihchina.cn/project.html" TargetMode="External"/><Relationship Id="rId20" Type="http://schemas.openxmlformats.org/officeDocument/2006/relationships/hyperlink" Target="https://www.ihchina.cn/project.html" TargetMode="External"/><Relationship Id="rId2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http://www.ncha.gov.cn/art/2022/2/18/art_722_173029.html" TargetMode="External"/><Relationship Id="rId2" Type="http://schemas.openxmlformats.org/officeDocument/2006/relationships/hyperlink" Target="http://www.ncha.gov.cn/art/2022/2/18/art_722_173029.html" TargetMode="External"/><Relationship Id="rId3" Type="http://schemas.openxmlformats.org/officeDocument/2006/relationships/hyperlink" Target="http://www.ncha.gov.cn/art/2022/2/18/art_722_173029.html" TargetMode="External"/><Relationship Id="rId4" Type="http://schemas.openxmlformats.org/officeDocument/2006/relationships/hyperlink" Target="http://www.ncha.gov.cn/art/2022/2/18/art_722_173029.html" TargetMode="External"/><Relationship Id="rId5" Type="http://schemas.openxmlformats.org/officeDocument/2006/relationships/hyperlink" Target="https://www.ndrc.gov.cn/fggz/fzzlgh/gjjzxgh/202112/t20211201_1306596.html" TargetMode="External"/><Relationship Id="rId6" Type="http://schemas.openxmlformats.org/officeDocument/2006/relationships/hyperlink" Target="http://www.ncha.gov.cn/art/2026/7/29/art_2318_48456.html" TargetMode="External"/><Relationship Id="rId7" Type="http://schemas.openxmlformats.org/officeDocument/2006/relationships/hyperlink" Target="http://www.ncha.gov.cn/art/2026/7/29/art_2318_48456.html" TargetMode="External"/><Relationship Id="rId8" Type="http://schemas.openxmlformats.org/officeDocument/2006/relationships/hyperlink" Target="https://www.cssn.cn/skgz/bwyc/202605/t20260522_5992725.shtml" TargetMode="External"/><Relationship Id="rId9" Type="http://schemas.openxmlformats.org/officeDocument/2006/relationships/hyperlink" Target="https://www.cssn.cn/skgz/bwyc/202605/t20260522_5992725.shtml" TargetMode="External"/><Relationship Id="rId10" Type="http://schemas.openxmlformats.org/officeDocument/2006/relationships/hyperlink" Target="https://www.chinanews.com.cn/sh/2026/09-24/10703295.shtml" TargetMode="External"/><Relationship Id="rId11" Type="http://schemas.openxmlformats.org/officeDocument/2006/relationships/hyperlink" Target="https://www.cssn.cn/skgz/bwyc/202605/t20260522_5992725.shtml" TargetMode="External"/><Relationship Id="rId12" Type="http://schemas.openxmlformats.org/officeDocument/2006/relationships/hyperlink" Target="https://www.cssn.cn/skgz/bwyc/202605/t20260522_5992725.shtml" TargetMode="External"/><Relationship Id="rId13" Type="http://schemas.openxmlformats.org/officeDocument/2006/relationships/hyperlink" Target="https://www.chinanews.com.cn/sh/2026/09-24/10703295.shtml" TargetMode="External"/><Relationship Id="rId14" Type="http://schemas.openxmlformats.org/officeDocument/2006/relationships/hyperlink" Target="https://www.chinanews.com.cn/sh/2026/09-24/10703295.shtml" TargetMode="External"/><Relationship Id="rId15" Type="http://schemas.openxmlformats.org/officeDocument/2006/relationships/hyperlink" Target="https://ke.china-embassy.gov.cn/sgxx/dszs_145423/202402/t20240223_11249135.htm" TargetMode="External"/><Relationship Id="rId16"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hyperlink" Target="https://www.heritage.gov.my/images/05_daftarwarisan/BANGUNAN_Warisan%20Kebangsaan.pdf" TargetMode="External"/><Relationship Id="rId2" Type="http://schemas.openxmlformats.org/officeDocument/2006/relationships/hyperlink" Target="https://gtwhi.com.my/our-work/buildings/" TargetMode="External"/><Relationship Id="rId3" Type="http://schemas.openxmlformats.org/officeDocument/2006/relationships/hyperlink" Target="https://www.thestar.com.my/news/nation/2005/07/14/bukit-cina-to-be-gazetted" TargetMode="External"/><Relationship Id="rId4" Type="http://schemas.openxmlformats.org/officeDocument/2006/relationships/hyperlink" Target="https://zakon.uchet.kz/rus/docs/P080000279_" TargetMode="External"/><Relationship Id="rId5" Type="http://schemas.openxmlformats.org/officeDocument/2006/relationships/hyperlink" Target="https://faolex.fao.org/docs/pdf/kyr161432.pdf" TargetMode="External"/><Relationship Id="rId6" Type="http://schemas.openxmlformats.org/officeDocument/2006/relationships/hyperlink" Target="https://database.uclcaal.org/" TargetMode="External"/><Relationship Id="rId7" Type="http://schemas.openxmlformats.org/officeDocument/2006/relationships/hyperlink" Target="https://apsaraauthority.gov.kh/our-work/archeological-research-conservation/5" TargetMode="External"/><Relationship Id="rId8" Type="http://schemas.openxmlformats.org/officeDocument/2006/relationships/hyperlink" Target="https://en.wikipedia.org/wiki/List_of_sites_and_monuments_in_Kenya" TargetMode="External"/><Relationship Id="rId9" Type="http://schemas.openxmlformats.org/officeDocument/2006/relationships/hyperlink" Target="https://home.nps.gov/subjects/nationalregister/data-downloads.htm" TargetMode="External"/><Relationship Id="rId10" Type="http://schemas.openxmlformats.org/officeDocument/2006/relationships/hyperlink" Target="https://www.nps.gov/subjects/tellingallamericansstories/upload/19-Appendix-II-Study-List.pdf" TargetMode="External"/><Relationship Id="rId11" Type="http://schemas.openxmlformats.org/officeDocument/2006/relationships/hyperlink" Target="https://web.stanford.edu/group/chineserailroad/cgi-bin/website/researchmaterials/archaeology" TargetMode="External"/><Relationship Id="rId12" Type="http://schemas.openxmlformats.org/officeDocument/2006/relationships/hyperlink" Target="https://api.heritagecouncil.vic.gov.au/v1/places?kw=chinese&amp;rpp=5" TargetMode="External"/><Relationship Id="rId13" Type="http://schemas.openxmlformats.org/officeDocument/2006/relationships/hyperlink" Target="https://data.gov.au/data/dataset/australian-heritage-database" TargetMode="External"/><Relationship Id="rId14" Type="http://schemas.openxmlformats.org/officeDocument/2006/relationships/hyperlink" Target="https://chineseaustralianhistory.org/heritage/" TargetMode="External"/><Relationship Id="rId15" Type="http://schemas.openxmlformats.org/officeDocument/2006/relationships/hyperlink" Target="https://query.wikidata.org/" TargetMode="External"/><Relationship Id="rId16" Type="http://schemas.openxmlformats.org/officeDocument/2006/relationships/hyperlink" Target="https://overpass-api.de/" TargetMode="External"/><Relationship Id="rId17" Type="http://schemas.openxmlformats.org/officeDocument/2006/relationships/hyperlink" Target="https://www.aiddata.org/data/aiddatas-global-chinese-development-finance-dataset-version-3-0" TargetMode="External"/><Relationship Id="rId18" Type="http://schemas.openxmlformats.org/officeDocument/2006/relationships/hyperlink" Target="http://shgis.nus.edu.sg/index.php/chinese-temples" TargetMode="External"/><Relationship Id="rId19"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hyperlink" Target="https://apsaraauthority.gov.kh/2025/10/24/meeting-and-inspects-work-on-the-royal-palace/" TargetMode="External"/><Relationship Id="rId2" Type="http://schemas.openxmlformats.org/officeDocument/2006/relationships/hyperlink" Target="https://museums.or.ke/?p=2296" TargetMode="External"/><Relationship Id="rId3" Type="http://schemas.openxmlformats.org/officeDocument/2006/relationships/hyperlink" Target="https://faolex.fao.org/docs/pdf/kyr161432.pdf" TargetMode="External"/><Relationship Id="rId4" Type="http://schemas.openxmlformats.org/officeDocument/2006/relationships/hyperlink" Target="https://gtwhi.com.my/our-work/buildings/" TargetMode="External"/><Relationship Id="rId5" Type="http://schemas.openxmlformats.org/officeDocument/2006/relationships/hyperlink" Target="https://www.thestar.com.my/news/nation/2005/07/14/bukit-cina-to-be-gazetted" TargetMode="External"/><Relationship Id="rId6" Type="http://schemas.openxmlformats.org/officeDocument/2006/relationships/hyperlink" Target="https://vhd.heritagecouncil.vic.gov.au/places/34220" TargetMode="External"/><Relationship Id="rId7" Type="http://schemas.openxmlformats.org/officeDocument/2006/relationships/hyperlink" Target="https://caspu.pku.edu.cn/en/publications/africanhistory/228981.html" TargetMode="External"/><Relationship Id="rId8"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hyperlink" Target="https://treaty.mfa.gov.cn/web/detail1.jsp?objid=1531876485802" TargetMode="External"/><Relationship Id="rId2" Type="http://schemas.openxmlformats.org/officeDocument/2006/relationships/hyperlink" Target="https://treaty.mfa.gov.cn/web/detail1.jsp?objid=1531876485908" TargetMode="External"/><Relationship Id="rId3" Type="http://schemas.openxmlformats.org/officeDocument/2006/relationships/hyperlink" Target="https://treaty.mfa.gov.cn/web/detail1.jsp?objid=1531876485962" TargetMode="External"/><Relationship Id="rId4" Type="http://schemas.openxmlformats.org/officeDocument/2006/relationships/hyperlink" Target="https://treaty.mfa.gov.cn/web/detail1.jsp?objid=1531876486014" TargetMode="External"/><Relationship Id="rId5" Type="http://schemas.openxmlformats.org/officeDocument/2006/relationships/hyperlink" Target="https://treaty.mfa.gov.cn/web/detail1.jsp?objid=1531876485752" TargetMode="External"/><Relationship Id="rId6" Type="http://schemas.openxmlformats.org/officeDocument/2006/relationships/hyperlink" Target="https://treaty.mfa.gov.cn/web/detail1.jsp?objid=1531876494044" TargetMode="External"/><Relationship Id="rId7" Type="http://schemas.openxmlformats.org/officeDocument/2006/relationships/hyperlink" Target="https://treaty.mfa.gov.cn/web/detail1.jsp?objid=1531876494252" TargetMode="External"/><Relationship Id="rId8" Type="http://schemas.openxmlformats.org/officeDocument/2006/relationships/hyperlink" Target="https://treaty.mfa.gov.cn/web/detail1.jsp?objid=1531876494151" TargetMode="External"/><Relationship Id="rId9" Type="http://schemas.openxmlformats.org/officeDocument/2006/relationships/hyperlink" Target="https://treaty.mfa.gov.cn/web/detail1.jsp?objid=1531876493991" TargetMode="External"/><Relationship Id="rId10" Type="http://schemas.openxmlformats.org/officeDocument/2006/relationships/hyperlink" Target="https://treaty.mfa.gov.cn/web/detail1.jsp?objid=1531876513690" TargetMode="External"/><Relationship Id="rId11" Type="http://schemas.openxmlformats.org/officeDocument/2006/relationships/hyperlink" Target="https://treaty.mfa.gov.cn/web/detail1.jsp?objid=1531876513639" TargetMode="External"/><Relationship Id="rId12" Type="http://schemas.openxmlformats.org/officeDocument/2006/relationships/hyperlink" Target="https://treaty.mfa.gov.cn/web/detail1.jsp?objid=1531876565956" TargetMode="External"/><Relationship Id="rId13" Type="http://schemas.openxmlformats.org/officeDocument/2006/relationships/hyperlink" Target="https://treaty.mfa.gov.cn/web/detail1.jsp?objid=1531876854962" TargetMode="External"/><Relationship Id="rId14" Type="http://schemas.openxmlformats.org/officeDocument/2006/relationships/hyperlink" Target="https://treaty.mfa.gov.cn/web/detail1.jsp?objid=1531876878468" TargetMode="External"/><Relationship Id="rId15" Type="http://schemas.openxmlformats.org/officeDocument/2006/relationships/hyperlink" Target="https://treaty.mfa.gov.cn/web/detail1.jsp?objid=1531876897634" TargetMode="External"/><Relationship Id="rId16" Type="http://schemas.openxmlformats.org/officeDocument/2006/relationships/hyperlink" Target="https://treaty.mfa.gov.cn/web/detail1.jsp?objid=1531876893427" TargetMode="External"/><Relationship Id="rId17" Type="http://schemas.openxmlformats.org/officeDocument/2006/relationships/hyperlink" Target="https://treaty.mfa.gov.cn/web/detail1.jsp?objid=1531876893282" TargetMode="External"/><Relationship Id="rId18" Type="http://schemas.openxmlformats.org/officeDocument/2006/relationships/hyperlink" Target="https://treaty.mfa.gov.cn/web/detail1.jsp?objid=1531876893181" TargetMode="External"/><Relationship Id="rId19" Type="http://schemas.openxmlformats.org/officeDocument/2006/relationships/hyperlink" Target="https://treaty.mfa.gov.cn/web/detail1.jsp?objid=1531876903025" TargetMode="External"/><Relationship Id="rId20" Type="http://schemas.openxmlformats.org/officeDocument/2006/relationships/hyperlink" Target="https://treaty.mfa.gov.cn/web/detail1.jsp?objid=1531876904849" TargetMode="External"/><Relationship Id="rId21" Type="http://schemas.openxmlformats.org/officeDocument/2006/relationships/hyperlink" Target="https://treaty.mfa.gov.cn/web/detail1.jsp?objid=1531876918053" TargetMode="External"/><Relationship Id="rId22" Type="http://schemas.openxmlformats.org/officeDocument/2006/relationships/hyperlink" Target="https://treaty.mfa.gov.cn/web/detail1.jsp?objid=1531876924395" TargetMode="External"/><Relationship Id="rId23" Type="http://schemas.openxmlformats.org/officeDocument/2006/relationships/hyperlink" Target="https://treaty.mfa.gov.cn/web/detail1.jsp?objid=1531876925884" TargetMode="External"/><Relationship Id="rId24" Type="http://schemas.openxmlformats.org/officeDocument/2006/relationships/hyperlink" Target="https://treaty.mfa.gov.cn/web/detail1.jsp?objid=1531876925835" TargetMode="External"/><Relationship Id="rId25" Type="http://schemas.openxmlformats.org/officeDocument/2006/relationships/hyperlink" Target="https://treaty.mfa.gov.cn/web/detail1.jsp?objid=1531876944132" TargetMode="External"/><Relationship Id="rId26" Type="http://schemas.openxmlformats.org/officeDocument/2006/relationships/hyperlink" Target="https://treaty.mfa.gov.cn/web/detail1.jsp?objid=1531876933822" TargetMode="External"/><Relationship Id="rId27" Type="http://schemas.openxmlformats.org/officeDocument/2006/relationships/hyperlink" Target="https://treaty.mfa.gov.cn/web/detail1.jsp?objid=1531876945033" TargetMode="External"/><Relationship Id="rId28" Type="http://schemas.openxmlformats.org/officeDocument/2006/relationships/hyperlink" Target="https://treaty.mfa.gov.cn/web/detail1.jsp?objid=1605167857701" TargetMode="External"/><Relationship Id="rId29" Type="http://schemas.openxmlformats.org/officeDocument/2006/relationships/hyperlink" Target="https://treaty.mfa.gov.cn/web/detail1.jsp?objid=1531876077415" TargetMode="External"/><Relationship Id="rId30" Type="http://schemas.openxmlformats.org/officeDocument/2006/relationships/hyperlink" Target="https://treaty.mfa.gov.cn/web/detail1.jsp?objid=1531876070902" TargetMode="External"/><Relationship Id="rId31" Type="http://schemas.openxmlformats.org/officeDocument/2006/relationships/hyperlink" Target="https://treaty.mfa.gov.cn/web/detail1.jsp?objid=1531876888674" TargetMode="External"/><Relationship Id="rId32"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hyperlink" Target="https://treaty.mfa.gov.cn/web/index.jsp" TargetMode="External"/><Relationship Id="rId2" Type="http://schemas.openxmlformats.org/officeDocument/2006/relationships/hyperlink" Target="https://m.bjnews.com.cn/detail/1699965728129667.html" TargetMode="External"/><Relationship Id="rId3" Type="http://schemas.openxmlformats.org/officeDocument/2006/relationships/hyperlink" Target="https://2012-2025.eca.state.gov/cultural-heritage-center/cultural-property/current-agreements-and-import-restrictions.html" TargetMode="External"/><Relationship Id="rId4" Type="http://schemas.openxmlformats.org/officeDocument/2006/relationships/hyperlink" Target="https://whc.unesco.org/en/statesparties/CN/laws/" TargetMode="External"/><Relationship Id="rId5" Type="http://schemas.openxmlformats.org/officeDocument/2006/relationships/hyperlink" Target="https://whc.unesco.org/en/sessions/" TargetMode="External"/><Relationship Id="rId6" Type="http://schemas.openxmlformats.org/officeDocument/2006/relationships/hyperlink" Target="https://core.unesco.org/en/project/580RAF4001" TargetMode="External"/><Relationship Id="rId7" Type="http://schemas.openxmlformats.org/officeDocument/2006/relationships/hyperlink" Target="https://whc.unesco.org/en/partners/503" TargetMode="External"/><Relationship Id="rId8" Type="http://schemas.openxmlformats.org/officeDocument/2006/relationships/hyperlink" Target="https://whc.unesco.org/en/activities/676/" TargetMode="External"/><Relationship Id="rId9" Type="http://schemas.openxmlformats.org/officeDocument/2006/relationships/hyperlink" Target="http://www.news.cn/world/20251128/1965e348e6f14010aca3d1de668795ef/c.html" TargetMode="External"/><Relationship Id="rId10" Type="http://schemas.openxmlformats.org/officeDocument/2006/relationships/hyperlink" Target="https://www.mfa.gov.cn/zyxw/202310/t20231018_11163412.shtml" TargetMode="External"/><Relationship Id="rId11" Type="http://schemas.openxmlformats.org/officeDocument/2006/relationships/hyperlink" Target="https://news.gmw.cn/2025-01/02/content_37772689.htm" TargetMode="External"/><Relationship Id="rId12" Type="http://schemas.openxmlformats.org/officeDocument/2006/relationships/hyperlink" Target="https://uz.china-embassy.gov.cn/zwgxzxdt/202506/t20250618_11652102.htm" TargetMode="External"/><Relationship Id="rId13"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hyperlink" Target="https://2012-2025.eca.state.gov/cultural-heritage-center/cultural-property/current-agreements-and-import-restrictions.html" TargetMode="External"/><Relationship Id="rId2" Type="http://schemas.openxmlformats.org/officeDocument/2006/relationships/hyperlink" Target="http://www.news.cn/culture/20230320/1b237d8ebd314e15be1fb95123e8be6e/c.html" TargetMode="External"/><Relationship Id="rId3" Type="http://schemas.openxmlformats.org/officeDocument/2006/relationships/hyperlink" Target="http://www.news.cn/culture/20230320/1b237d8ebd314e15be1fb95123e8be6e/c.html" TargetMode="External"/><Relationship Id="rId4" Type="http://schemas.openxmlformats.org/officeDocument/2006/relationships/hyperlink" Target="https://www.mfa.gov.cn/zyxw/202310/t20231018_11163412.shtml" TargetMode="External"/><Relationship Id="rId5" Type="http://schemas.openxmlformats.org/officeDocument/2006/relationships/hyperlink" Target="https://www.mfa.gov.cn/zyxw/202310/t20231018_11163412.shtml" TargetMode="External"/><Relationship Id="rId6" Type="http://schemas.openxmlformats.org/officeDocument/2006/relationships/hyperlink" Target="https://m.bjnews.com.cn/detail/1699965728129667.html" TargetMode="External"/><Relationship Id="rId7" Type="http://schemas.openxmlformats.org/officeDocument/2006/relationships/hyperlink" Target="https://cn.chinadaily.com.cn/a/202406/20/WS66738c64a3107cd55d267adc.html" TargetMode="External"/><Relationship Id="rId8" Type="http://schemas.openxmlformats.org/officeDocument/2006/relationships/hyperlink" Target="https://core.unesco.org/en/project/580RAF4001" TargetMode="External"/><Relationship Id="rId9" Type="http://schemas.openxmlformats.org/officeDocument/2006/relationships/hyperlink" Target="http://www.news.cn/world/20251128/1965e348e6f14010aca3d1de668795ef/c.html" TargetMode="External"/><Relationship Id="rId10" Type="http://schemas.openxmlformats.org/officeDocument/2006/relationships/hyperlink" Target="http://www.news.cn/world/20251128/1965e348e6f14010aca3d1de668795ef/c.html" TargetMode="External"/><Relationship Id="rId11" Type="http://schemas.openxmlformats.org/officeDocument/2006/relationships/hyperlink" Target="https://m.gmw.cn/2026-09/19/content_1304565539.htm" TargetMode="External"/><Relationship Id="rId12" Type="http://schemas.openxmlformats.org/officeDocument/2006/relationships/drawing" Target="../drawings/drawing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c r="B5" s="4" t="n">
        <f aca="false">COUNTA('China WH List'!A2:A200)</f>
        <v>61</v>
      </c>
    </row>
    <row r="6" customFormat="false" ht="15" hidden="false" customHeight="false" outlineLevel="0" collapsed="false">
      <c r="A6" s="2" t="s">
        <v>4</v>
      </c>
      <c r="B6" s="4" t="n">
        <f aca="false">COUNTIF('China WH List'!D2:D200,"Cultural")</f>
        <v>42</v>
      </c>
    </row>
    <row r="7" customFormat="false" ht="15" hidden="false" customHeight="false" outlineLevel="0" collapsed="false">
      <c r="A7" s="2" t="s">
        <v>5</v>
      </c>
      <c r="B7" s="4" t="n">
        <f aca="false">COUNTIF('China WH List'!D2:D200,"Natural")</f>
        <v>15</v>
      </c>
    </row>
    <row r="8" customFormat="false" ht="15" hidden="false" customHeight="false" outlineLevel="0" collapsed="false">
      <c r="A8" s="2" t="s">
        <v>6</v>
      </c>
      <c r="B8" s="4" t="n">
        <f aca="false">COUNTIF('China WH List'!D2:D200,"Mixed")</f>
        <v>4</v>
      </c>
    </row>
    <row r="9" customFormat="false" ht="15" hidden="false" customHeight="false" outlineLevel="0" collapsed="false">
      <c r="A9" s="2" t="s">
        <v>7</v>
      </c>
      <c r="B9" s="4" t="n">
        <f aca="false">COUNTIF('China WH List'!H2:H200,"Yes")</f>
        <v>1</v>
      </c>
    </row>
    <row r="10" customFormat="false" ht="15" hidden="false" customHeight="false" outlineLevel="0" collapsed="false">
      <c r="A10" s="2" t="s">
        <v>8</v>
      </c>
      <c r="B10" s="4" t="n">
        <f aca="false">COUNTIF('China WH List'!M2:M200,"?*")</f>
        <v>9</v>
      </c>
    </row>
    <row r="11" customFormat="false" ht="15" hidden="false" customHeight="false" outlineLevel="0" collapsed="false">
      <c r="A11" s="2" t="s">
        <v>9</v>
      </c>
      <c r="B11" s="4" t="n">
        <f aca="false">COUNTA('China Tentative List'!A2:A200)</f>
        <v>60</v>
      </c>
    </row>
    <row r="12" customFormat="false" ht="15" hidden="false" customHeight="false" outlineLevel="0" collapsed="false">
      <c r="A12" s="2" t="s">
        <v>10</v>
      </c>
      <c r="B12" s="4" t="n">
        <f aca="false">COUNTIF('China Tentative List'!D2:D200,"?*")</f>
        <v>2</v>
      </c>
    </row>
    <row r="13" customFormat="false" ht="15" hidden="false" customHeight="false" outlineLevel="0" collapsed="false">
      <c r="A13" s="2" t="s">
        <v>11</v>
      </c>
      <c r="B13" s="4" t="n">
        <f aca="false">COUNTA('Sites Abroad Linked to China'!A2:A200)</f>
        <v>33</v>
      </c>
    </row>
    <row r="14" customFormat="false" ht="15" hidden="false" customHeight="false" outlineLevel="0" collapsed="false">
      <c r="A14" s="2" t="s">
        <v>12</v>
      </c>
      <c r="B14" s="4" t="n">
        <f aca="false">COUNTA('Sites Abroad Linked to China'!A2:A200)-COUNTIF('Sites Abroad Linked to China'!H2:H200,"Geographic mention only")</f>
        <v>29</v>
      </c>
    </row>
    <row r="15" customFormat="false" ht="15" hidden="false" customHeight="false" outlineLevel="0" collapsed="false">
      <c r="A15" s="2"/>
    </row>
    <row r="16" customFormat="false" ht="15" hidden="false" customHeight="false" outlineLevel="0" collapsed="false">
      <c r="A16" s="3" t="s">
        <v>13</v>
      </c>
    </row>
    <row r="17" customFormat="false" ht="23.85" hidden="false" customHeight="false" outlineLevel="0" collapsed="false">
      <c r="A17" s="2" t="s">
        <v>14</v>
      </c>
      <c r="B17" s="4" t="s">
        <v>15</v>
      </c>
    </row>
    <row r="18" customFormat="false" ht="15" hidden="false" customHeight="false" outlineLevel="0" collapsed="false">
      <c r="A18" s="2" t="s">
        <v>16</v>
      </c>
      <c r="B18" s="4" t="s">
        <v>17</v>
      </c>
    </row>
    <row r="19" customFormat="false" ht="23.85" hidden="false" customHeight="false" outlineLevel="0" collapsed="false">
      <c r="A19" s="2" t="s">
        <v>18</v>
      </c>
      <c r="B19" s="4" t="s">
        <v>19</v>
      </c>
    </row>
    <row r="20" customFormat="false" ht="15" hidden="false" customHeight="false" outlineLevel="0" collapsed="false">
      <c r="A20" s="2" t="s">
        <v>20</v>
      </c>
      <c r="B20" s="4" t="s">
        <v>21</v>
      </c>
    </row>
    <row r="21" customFormat="false" ht="15" hidden="false" customHeight="false" outlineLevel="0" collapsed="false">
      <c r="A21" s="2" t="s">
        <v>22</v>
      </c>
      <c r="B21" s="4" t="s">
        <v>23</v>
      </c>
    </row>
    <row r="22" customFormat="false" ht="15" hidden="false" customHeight="false" outlineLevel="0" collapsed="false">
      <c r="A22" s="2" t="s">
        <v>24</v>
      </c>
      <c r="B22" s="4" t="s">
        <v>25</v>
      </c>
    </row>
    <row r="23" customFormat="false" ht="15" hidden="false" customHeight="false" outlineLevel="0" collapsed="false">
      <c r="A23" s="2"/>
    </row>
    <row r="24" customFormat="false" ht="15" hidden="false" customHeight="false" outlineLevel="0" collapsed="false">
      <c r="A24" s="3" t="s">
        <v>26</v>
      </c>
    </row>
    <row r="25" customFormat="false" ht="15" hidden="false" customHeight="false" outlineLevel="0" collapsed="false">
      <c r="A25" s="2" t="s">
        <v>27</v>
      </c>
      <c r="B25" s="4" t="s">
        <v>28</v>
      </c>
    </row>
    <row r="26" customFormat="false" ht="15" hidden="false" customHeight="false" outlineLevel="0" collapsed="false">
      <c r="A26" s="2" t="s">
        <v>29</v>
      </c>
      <c r="B26" s="4" t="s">
        <v>30</v>
      </c>
    </row>
    <row r="27" customFormat="false" ht="15" hidden="false" customHeight="false" outlineLevel="0" collapsed="false">
      <c r="A27" s="2"/>
    </row>
    <row r="28" customFormat="false" ht="35.05" hidden="false" customHeight="false" outlineLevel="0" collapsed="false">
      <c r="A28" s="2" t="s">
        <v>31</v>
      </c>
      <c r="B28" s="4" t="s">
        <v>32</v>
      </c>
    </row>
    <row r="30" customFormat="false" ht="15" hidden="false" customHeight="false" outlineLevel="0" collapsed="false">
      <c r="A30" s="3" t="s">
        <v>33</v>
      </c>
    </row>
    <row r="31" customFormat="false" ht="15" hidden="false" customHeight="false" outlineLevel="0" collapsed="false">
      <c r="A31" s="2" t="s">
        <v>34</v>
      </c>
      <c r="B31" s="4" t="n">
        <f aca="false">COUNTA('1b Chinese Sources'!A2:A200)</f>
        <v>12</v>
      </c>
    </row>
    <row r="32" customFormat="false" ht="15" hidden="false" customHeight="false" outlineLevel="0" collapsed="false">
      <c r="A32" s="2" t="s">
        <v>35</v>
      </c>
      <c r="B32" s="4" t="n">
        <f aca="false">COUNTA('1b Framing Examples'!A2:A200)</f>
        <v>20</v>
      </c>
    </row>
    <row r="33" customFormat="false" ht="15" hidden="false" customHeight="false" outlineLevel="0" collapsed="false">
      <c r="A33" s="2" t="s">
        <v>36</v>
      </c>
      <c r="B33" s="4" t="n">
        <f aca="false">COUNTA('1b Chinese Projects Abroad'!A2:A200)</f>
        <v>15</v>
      </c>
    </row>
    <row r="34" customFormat="false" ht="15" hidden="false" customHeight="false" outlineLevel="0" collapsed="false">
      <c r="A34" s="2" t="s">
        <v>37</v>
      </c>
      <c r="B34" s="4" t="s">
        <v>38</v>
      </c>
    </row>
    <row r="35" customFormat="false" ht="23.85" hidden="false" customHeight="false" outlineLevel="0" collapsed="false">
      <c r="A35" s="2" t="s">
        <v>39</v>
      </c>
      <c r="B35" s="4" t="s">
        <v>40</v>
      </c>
    </row>
    <row r="36" customFormat="false" ht="15" hidden="false" customHeight="false" outlineLevel="0" collapsed="false">
      <c r="A36" s="2" t="s">
        <v>41</v>
      </c>
      <c r="B36" s="4" t="s">
        <v>42</v>
      </c>
    </row>
    <row r="38" customFormat="false" ht="15" hidden="false" customHeight="false" outlineLevel="0" collapsed="false">
      <c r="A38" s="3" t="s">
        <v>43</v>
      </c>
    </row>
    <row r="39" customFormat="false" ht="15" hidden="false" customHeight="false" outlineLevel="0" collapsed="false">
      <c r="A39" s="2" t="s">
        <v>44</v>
      </c>
      <c r="B39" s="4" t="n">
        <f aca="false">COUNTA('1c Host &amp; Diaspora Sources'!B2:B200)</f>
        <v>19</v>
      </c>
    </row>
    <row r="40" customFormat="false" ht="15" hidden="false" customHeight="false" outlineLevel="0" collapsed="false">
      <c r="A40" s="2" t="s">
        <v>45</v>
      </c>
      <c r="B40" s="4" t="n">
        <f aca="false">COUNTA('1c Framing Examples'!A2:A200)</f>
        <v>7</v>
      </c>
    </row>
    <row r="41" customFormat="false" ht="23.85" hidden="false" customHeight="false" outlineLevel="0" collapsed="false">
      <c r="A41" s="2" t="s">
        <v>46</v>
      </c>
      <c r="B41" s="4" t="s">
        <v>47</v>
      </c>
    </row>
    <row r="42" customFormat="false" ht="23.85" hidden="false" customHeight="false" outlineLevel="0" collapsed="false">
      <c r="A42" s="2" t="s">
        <v>48</v>
      </c>
      <c r="B42" s="4" t="s">
        <v>49</v>
      </c>
    </row>
    <row r="44" customFormat="false" ht="15" hidden="false" customHeight="false" outlineLevel="0" collapsed="false">
      <c r="A44" s="3" t="s">
        <v>50</v>
      </c>
    </row>
    <row r="45" customFormat="false" ht="15" hidden="false" customHeight="false" outlineLevel="0" collapsed="false">
      <c r="A45" s="2" t="s">
        <v>51</v>
      </c>
      <c r="B45" s="4" t="n">
        <f aca="false">COUNTA('1d Non-site Data Sources'!B2:B200)</f>
        <v>13</v>
      </c>
    </row>
    <row r="46" customFormat="false" ht="15" hidden="false" customHeight="false" outlineLevel="0" collapsed="false">
      <c r="A46" s="2" t="s">
        <v>52</v>
      </c>
      <c r="B46" s="4" t="n">
        <f aca="false">COUNTA('1d Agreements (MFA DB)'!C2:C200)</f>
        <v>31</v>
      </c>
    </row>
    <row r="47" customFormat="false" ht="15" hidden="false" customHeight="false" outlineLevel="0" collapsed="false">
      <c r="A47" s="2" t="s">
        <v>53</v>
      </c>
      <c r="B47" s="4" t="n">
        <f aca="false">COUNTIF('1d Agreements (MFA DB)'!B2:B200,"Illicit trafficking")</f>
        <v>6</v>
      </c>
    </row>
    <row r="48" customFormat="false" ht="15" hidden="false" customHeight="false" outlineLevel="0" collapsed="false">
      <c r="A48" s="2" t="s">
        <v>54</v>
      </c>
      <c r="B48" s="4" t="n">
        <f aca="false">COUNTIF('1d Agreements (MFA DB)'!B2:B200,"Heritage cooperation")</f>
        <v>8</v>
      </c>
    </row>
    <row r="49" customFormat="false" ht="15" hidden="false" customHeight="false" outlineLevel="0" collapsed="false">
      <c r="A49" s="2" t="s">
        <v>55</v>
      </c>
      <c r="B49" s="4" t="n">
        <f aca="false">COUNTA('1d Programmes &amp; Outcomes'!A2:A200)</f>
        <v>11</v>
      </c>
    </row>
    <row r="50" customFormat="false" ht="15" hidden="false" customHeight="false" outlineLevel="0" collapsed="false">
      <c r="A50" s="2" t="s">
        <v>56</v>
      </c>
      <c r="B50" s="4" t="s">
        <v>57</v>
      </c>
    </row>
    <row r="51" customFormat="false" ht="23.85" hidden="false" customHeight="false" outlineLevel="0" collapsed="false">
      <c r="A51" s="2" t="s">
        <v>58</v>
      </c>
      <c r="B51" s="4" t="s">
        <v>59</v>
      </c>
    </row>
    <row r="52" customFormat="false" ht="15" hidden="false" customHeight="false" outlineLevel="0" collapsed="false">
      <c r="A52" s="2" t="s">
        <v>60</v>
      </c>
      <c r="B52" s="4"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2"/>
    <col collapsed="false" customWidth="true" hidden="false" outlineLevel="0" max="3" min="3" style="0" width="26"/>
    <col collapsed="false" customWidth="true" hidden="false" outlineLevel="0" max="4" min="4" style="0" width="10"/>
    <col collapsed="false" customWidth="true" hidden="false" outlineLevel="0" max="5" min="5" style="0" width="16"/>
    <col collapsed="false" customWidth="true" hidden="false" outlineLevel="0" max="6" min="6" style="0" width="9"/>
    <col collapsed="false" customWidth="true" hidden="false" outlineLevel="0" max="8" min="7" style="0" width="11"/>
    <col collapsed="false" customWidth="true" hidden="false" outlineLevel="0" max="9" min="9" style="0" width="20"/>
    <col collapsed="false" customWidth="true" hidden="false" outlineLevel="0" max="10" min="10" style="0" width="10"/>
    <col collapsed="false" customWidth="true" hidden="false" outlineLevel="0" max="12" min="11" style="0" width="11"/>
    <col collapsed="false" customWidth="true" hidden="false" outlineLevel="0" max="13" min="13" style="0" width="22"/>
    <col collapsed="false" customWidth="true" hidden="false" outlineLevel="0" max="14" min="14" style="0" width="60"/>
    <col collapsed="false" customWidth="true" hidden="false" outlineLevel="0" max="15" min="15" style="0" width="30"/>
    <col collapsed="false" customWidth="true" hidden="false" outlineLevel="0" max="16" min="16" style="0" width="34"/>
    <col collapsed="false" customWidth="true" hidden="false" outlineLevel="0" max="17" min="17" style="0" width="26"/>
    <col collapsed="false" customWidth="true" hidden="false" outlineLevel="0" max="18" min="18" style="0" width="14"/>
  </cols>
  <sheetData>
    <row r="1" customFormat="false" ht="31.5" hidden="false" customHeight="true" outlineLevel="0" collapsed="false">
      <c r="A1" s="5" t="s">
        <v>62</v>
      </c>
      <c r="B1" s="5" t="s">
        <v>63</v>
      </c>
      <c r="C1" s="5" t="s">
        <v>64</v>
      </c>
      <c r="D1" s="5" t="s">
        <v>65</v>
      </c>
      <c r="E1" s="5" t="s">
        <v>66</v>
      </c>
      <c r="F1" s="5" t="s">
        <v>67</v>
      </c>
      <c r="G1" s="5" t="s">
        <v>68</v>
      </c>
      <c r="H1" s="5" t="s">
        <v>69</v>
      </c>
      <c r="I1" s="5" t="s">
        <v>70</v>
      </c>
      <c r="J1" s="5" t="s">
        <v>71</v>
      </c>
      <c r="K1" s="5" t="s">
        <v>72</v>
      </c>
      <c r="L1" s="5" t="s">
        <v>73</v>
      </c>
      <c r="M1" s="5" t="s">
        <v>74</v>
      </c>
      <c r="N1" s="5" t="s">
        <v>75</v>
      </c>
      <c r="O1" s="5" t="s">
        <v>76</v>
      </c>
      <c r="P1" s="5" t="s">
        <v>77</v>
      </c>
      <c r="Q1" s="5" t="s">
        <v>78</v>
      </c>
      <c r="R1" s="5" t="s">
        <v>79</v>
      </c>
    </row>
    <row r="2" customFormat="false" ht="23.85" hidden="false" customHeight="false" outlineLevel="0" collapsed="false">
      <c r="A2" s="4" t="n">
        <v>437</v>
      </c>
      <c r="B2" s="4" t="s">
        <v>80</v>
      </c>
      <c r="C2" s="6" t="s">
        <v>81</v>
      </c>
      <c r="D2" s="4" t="s">
        <v>82</v>
      </c>
      <c r="E2" s="4" t="s">
        <v>83</v>
      </c>
      <c r="F2" s="6" t="n">
        <v>1987</v>
      </c>
      <c r="G2" s="6"/>
      <c r="H2" s="4" t="s">
        <v>84</v>
      </c>
      <c r="I2" s="6"/>
      <c r="J2" s="6" t="n">
        <v>1</v>
      </c>
      <c r="K2" s="6" t="n">
        <v>36.26667</v>
      </c>
      <c r="L2" s="6" t="n">
        <v>117.1</v>
      </c>
      <c r="M2" s="6"/>
      <c r="N2" s="6"/>
      <c r="O2" s="7" t="s">
        <v>85</v>
      </c>
      <c r="P2" s="7" t="s">
        <v>86</v>
      </c>
      <c r="Q2" s="8"/>
      <c r="R2" s="8"/>
    </row>
    <row r="3" customFormat="false" ht="15" hidden="false" customHeight="false" outlineLevel="0" collapsed="false">
      <c r="A3" s="6" t="n">
        <v>438</v>
      </c>
      <c r="B3" s="4" t="s">
        <v>87</v>
      </c>
      <c r="C3" s="6" t="s">
        <v>88</v>
      </c>
      <c r="D3" s="4" t="s">
        <v>89</v>
      </c>
      <c r="E3" s="4" t="s">
        <v>90</v>
      </c>
      <c r="F3" s="6" t="n">
        <v>1987</v>
      </c>
      <c r="G3" s="6"/>
      <c r="H3" s="4" t="s">
        <v>84</v>
      </c>
      <c r="I3" s="6"/>
      <c r="J3" s="6" t="n">
        <v>3</v>
      </c>
      <c r="K3" s="6" t="n">
        <v>39.8</v>
      </c>
      <c r="L3" s="6" t="n">
        <v>98.225</v>
      </c>
      <c r="M3" s="6"/>
      <c r="N3" s="6"/>
      <c r="O3" s="7" t="s">
        <v>91</v>
      </c>
      <c r="P3" s="7" t="s">
        <v>92</v>
      </c>
      <c r="Q3" s="8"/>
      <c r="R3" s="8"/>
    </row>
    <row r="4" customFormat="false" ht="29.85" hidden="false" customHeight="false" outlineLevel="0" collapsed="false">
      <c r="A4" s="6" t="n">
        <v>439</v>
      </c>
      <c r="B4" s="4" t="s">
        <v>93</v>
      </c>
      <c r="C4" s="6" t="s">
        <v>94</v>
      </c>
      <c r="D4" s="4" t="s">
        <v>89</v>
      </c>
      <c r="E4" s="4" t="s">
        <v>95</v>
      </c>
      <c r="F4" s="6" t="n">
        <v>1987</v>
      </c>
      <c r="G4" s="4" t="s">
        <v>96</v>
      </c>
      <c r="H4" s="4" t="s">
        <v>84</v>
      </c>
      <c r="I4" s="6"/>
      <c r="J4" s="6" t="n">
        <v>2</v>
      </c>
      <c r="K4" s="6" t="n">
        <v>39.917118</v>
      </c>
      <c r="L4" s="6" t="n">
        <v>116.397151</v>
      </c>
      <c r="M4" s="6"/>
      <c r="N4" s="6"/>
      <c r="O4" s="7" t="s">
        <v>97</v>
      </c>
      <c r="P4" s="7" t="s">
        <v>98</v>
      </c>
      <c r="Q4" s="8"/>
      <c r="R4" s="8"/>
    </row>
    <row r="5" customFormat="false" ht="23.85" hidden="false" customHeight="false" outlineLevel="0" collapsed="false">
      <c r="A5" s="6" t="n">
        <v>440</v>
      </c>
      <c r="B5" s="4" t="s">
        <v>99</v>
      </c>
      <c r="C5" s="6" t="s">
        <v>100</v>
      </c>
      <c r="D5" s="4" t="s">
        <v>89</v>
      </c>
      <c r="E5" s="4" t="s">
        <v>101</v>
      </c>
      <c r="F5" s="6" t="n">
        <v>1987</v>
      </c>
      <c r="G5" s="6"/>
      <c r="H5" s="4" t="s">
        <v>84</v>
      </c>
      <c r="I5" s="6"/>
      <c r="J5" s="6" t="n">
        <v>1</v>
      </c>
      <c r="K5" s="6" t="n">
        <v>40.13333</v>
      </c>
      <c r="L5" s="6" t="n">
        <v>94.81667</v>
      </c>
      <c r="M5" s="4" t="s">
        <v>102</v>
      </c>
      <c r="N5" s="4" t="s">
        <v>103</v>
      </c>
      <c r="O5" s="7" t="s">
        <v>104</v>
      </c>
      <c r="P5" s="7" t="s">
        <v>105</v>
      </c>
      <c r="Q5" s="8"/>
      <c r="R5" s="8"/>
    </row>
    <row r="6" customFormat="false" ht="15" hidden="false" customHeight="false" outlineLevel="0" collapsed="false">
      <c r="A6" s="6" t="n">
        <v>441</v>
      </c>
      <c r="B6" s="4" t="s">
        <v>106</v>
      </c>
      <c r="C6" s="6" t="s">
        <v>107</v>
      </c>
      <c r="D6" s="4" t="s">
        <v>89</v>
      </c>
      <c r="E6" s="4" t="s">
        <v>108</v>
      </c>
      <c r="F6" s="6" t="n">
        <v>1987</v>
      </c>
      <c r="G6" s="6"/>
      <c r="H6" s="4" t="s">
        <v>84</v>
      </c>
      <c r="I6" s="6"/>
      <c r="J6" s="6" t="n">
        <v>2</v>
      </c>
      <c r="K6" s="6" t="n">
        <v>34.3814166667</v>
      </c>
      <c r="L6" s="6" t="n">
        <v>109.253666667</v>
      </c>
      <c r="M6" s="6"/>
      <c r="N6" s="6"/>
      <c r="O6" s="7" t="s">
        <v>109</v>
      </c>
      <c r="P6" s="7" t="s">
        <v>110</v>
      </c>
      <c r="Q6" s="8"/>
      <c r="R6" s="8"/>
    </row>
    <row r="7" customFormat="false" ht="15" hidden="false" customHeight="false" outlineLevel="0" collapsed="false">
      <c r="A7" s="6" t="n">
        <v>449</v>
      </c>
      <c r="B7" s="4" t="s">
        <v>111</v>
      </c>
      <c r="C7" s="6" t="s">
        <v>112</v>
      </c>
      <c r="D7" s="4" t="s">
        <v>89</v>
      </c>
      <c r="E7" s="4" t="s">
        <v>113</v>
      </c>
      <c r="F7" s="6" t="n">
        <v>1987</v>
      </c>
      <c r="G7" s="6"/>
      <c r="H7" s="4" t="s">
        <v>84</v>
      </c>
      <c r="I7" s="6"/>
      <c r="J7" s="6" t="n">
        <v>1</v>
      </c>
      <c r="K7" s="6" t="n">
        <v>39.689449</v>
      </c>
      <c r="L7" s="6" t="n">
        <v>115.922702</v>
      </c>
      <c r="M7" s="6"/>
      <c r="N7" s="6"/>
      <c r="O7" s="7" t="s">
        <v>114</v>
      </c>
      <c r="P7" s="7" t="s">
        <v>115</v>
      </c>
      <c r="Q7" s="8"/>
      <c r="R7" s="8"/>
    </row>
    <row r="8" customFormat="false" ht="15" hidden="false" customHeight="false" outlineLevel="0" collapsed="false">
      <c r="A8" s="6" t="n">
        <v>547</v>
      </c>
      <c r="B8" s="4" t="s">
        <v>116</v>
      </c>
      <c r="C8" s="6" t="s">
        <v>117</v>
      </c>
      <c r="D8" s="4" t="s">
        <v>82</v>
      </c>
      <c r="E8" s="4" t="s">
        <v>118</v>
      </c>
      <c r="F8" s="6" t="n">
        <v>1990</v>
      </c>
      <c r="G8" s="6"/>
      <c r="H8" s="4" t="s">
        <v>84</v>
      </c>
      <c r="I8" s="6"/>
      <c r="J8" s="6" t="n">
        <v>1</v>
      </c>
      <c r="K8" s="6" t="n">
        <v>30.145333</v>
      </c>
      <c r="L8" s="6" t="n">
        <v>118.155083</v>
      </c>
      <c r="M8" s="6"/>
      <c r="N8" s="6"/>
      <c r="O8" s="7" t="s">
        <v>119</v>
      </c>
      <c r="P8" s="7" t="s">
        <v>120</v>
      </c>
      <c r="Q8" s="8"/>
      <c r="R8" s="8"/>
    </row>
    <row r="9" customFormat="false" ht="15" hidden="false" customHeight="false" outlineLevel="0" collapsed="false">
      <c r="A9" s="6" t="n">
        <v>637</v>
      </c>
      <c r="B9" s="4" t="s">
        <v>121</v>
      </c>
      <c r="C9" s="6" t="s">
        <v>122</v>
      </c>
      <c r="D9" s="4" t="s">
        <v>123</v>
      </c>
      <c r="E9" s="4" t="s">
        <v>124</v>
      </c>
      <c r="F9" s="6" t="n">
        <v>1992</v>
      </c>
      <c r="G9" s="6"/>
      <c r="H9" s="4" t="s">
        <v>84</v>
      </c>
      <c r="I9" s="6"/>
      <c r="J9" s="6" t="n">
        <v>1</v>
      </c>
      <c r="K9" s="6" t="n">
        <v>33.08333</v>
      </c>
      <c r="L9" s="6" t="n">
        <v>103.91667</v>
      </c>
      <c r="M9" s="6"/>
      <c r="N9" s="6"/>
      <c r="O9" s="7" t="s">
        <v>125</v>
      </c>
      <c r="P9" s="7" t="s">
        <v>126</v>
      </c>
      <c r="Q9" s="8"/>
      <c r="R9" s="8"/>
    </row>
    <row r="10" customFormat="false" ht="15" hidden="false" customHeight="false" outlineLevel="0" collapsed="false">
      <c r="A10" s="6" t="n">
        <v>638</v>
      </c>
      <c r="B10" s="4" t="s">
        <v>127</v>
      </c>
      <c r="C10" s="6" t="s">
        <v>128</v>
      </c>
      <c r="D10" s="4" t="s">
        <v>123</v>
      </c>
      <c r="E10" s="4" t="s">
        <v>124</v>
      </c>
      <c r="F10" s="6" t="n">
        <v>1992</v>
      </c>
      <c r="G10" s="6"/>
      <c r="H10" s="4" t="s">
        <v>84</v>
      </c>
      <c r="I10" s="6"/>
      <c r="J10" s="6" t="n">
        <v>1</v>
      </c>
      <c r="K10" s="6" t="n">
        <v>32.75417</v>
      </c>
      <c r="L10" s="6" t="n">
        <v>103.82222</v>
      </c>
      <c r="M10" s="6"/>
      <c r="N10" s="6"/>
      <c r="O10" s="7" t="s">
        <v>129</v>
      </c>
      <c r="P10" s="7" t="s">
        <v>130</v>
      </c>
      <c r="Q10" s="8"/>
      <c r="R10" s="8"/>
    </row>
    <row r="11" customFormat="false" ht="15" hidden="false" customHeight="false" outlineLevel="0" collapsed="false">
      <c r="A11" s="6" t="n">
        <v>640</v>
      </c>
      <c r="B11" s="4" t="s">
        <v>131</v>
      </c>
      <c r="C11" s="6" t="s">
        <v>132</v>
      </c>
      <c r="D11" s="4" t="s">
        <v>123</v>
      </c>
      <c r="E11" s="4" t="s">
        <v>124</v>
      </c>
      <c r="F11" s="6" t="n">
        <v>1992</v>
      </c>
      <c r="G11" s="6"/>
      <c r="H11" s="4" t="s">
        <v>84</v>
      </c>
      <c r="I11" s="6"/>
      <c r="J11" s="6" t="n">
        <v>1</v>
      </c>
      <c r="K11" s="6" t="n">
        <v>29.33333</v>
      </c>
      <c r="L11" s="6" t="n">
        <v>110.5</v>
      </c>
      <c r="M11" s="6"/>
      <c r="N11" s="6"/>
      <c r="O11" s="7" t="s">
        <v>133</v>
      </c>
      <c r="P11" s="7" t="s">
        <v>134</v>
      </c>
      <c r="Q11" s="8"/>
      <c r="R11" s="8"/>
    </row>
    <row r="12" customFormat="false" ht="23.85" hidden="false" customHeight="false" outlineLevel="0" collapsed="false">
      <c r="A12" s="6" t="n">
        <v>703</v>
      </c>
      <c r="B12" s="4" t="s">
        <v>135</v>
      </c>
      <c r="C12" s="6" t="s">
        <v>136</v>
      </c>
      <c r="D12" s="4" t="s">
        <v>89</v>
      </c>
      <c r="E12" s="4" t="s">
        <v>137</v>
      </c>
      <c r="F12" s="6" t="n">
        <v>1994</v>
      </c>
      <c r="G12" s="6"/>
      <c r="H12" s="4" t="s">
        <v>84</v>
      </c>
      <c r="I12" s="6"/>
      <c r="J12" s="6" t="n">
        <v>1</v>
      </c>
      <c r="K12" s="6" t="n">
        <v>40.98694</v>
      </c>
      <c r="L12" s="6" t="n">
        <v>117.93833</v>
      </c>
      <c r="M12" s="6"/>
      <c r="N12" s="6"/>
      <c r="O12" s="7" t="s">
        <v>138</v>
      </c>
      <c r="P12" s="7" t="s">
        <v>139</v>
      </c>
      <c r="Q12" s="8"/>
      <c r="R12" s="8"/>
    </row>
    <row r="13" customFormat="false" ht="23.85" hidden="false" customHeight="false" outlineLevel="0" collapsed="false">
      <c r="A13" s="6" t="n">
        <v>704</v>
      </c>
      <c r="B13" s="4" t="s">
        <v>140</v>
      </c>
      <c r="C13" s="6" t="s">
        <v>141</v>
      </c>
      <c r="D13" s="4" t="s">
        <v>89</v>
      </c>
      <c r="E13" s="4" t="s">
        <v>142</v>
      </c>
      <c r="F13" s="6" t="n">
        <v>1994</v>
      </c>
      <c r="G13" s="6"/>
      <c r="H13" s="4" t="s">
        <v>84</v>
      </c>
      <c r="I13" s="6"/>
      <c r="J13" s="6" t="n">
        <v>1</v>
      </c>
      <c r="K13" s="6" t="n">
        <v>35.613215</v>
      </c>
      <c r="L13" s="6" t="n">
        <v>116.994561</v>
      </c>
      <c r="M13" s="6"/>
      <c r="N13" s="6"/>
      <c r="O13" s="7" t="s">
        <v>143</v>
      </c>
      <c r="P13" s="7" t="s">
        <v>144</v>
      </c>
      <c r="Q13" s="8"/>
      <c r="R13" s="8"/>
    </row>
    <row r="14" customFormat="false" ht="23.85" hidden="false" customHeight="false" outlineLevel="0" collapsed="false">
      <c r="A14" s="6" t="n">
        <v>705</v>
      </c>
      <c r="B14" s="4" t="s">
        <v>145</v>
      </c>
      <c r="C14" s="6" t="s">
        <v>146</v>
      </c>
      <c r="D14" s="4" t="s">
        <v>89</v>
      </c>
      <c r="E14" s="4" t="s">
        <v>147</v>
      </c>
      <c r="F14" s="6" t="n">
        <v>1994</v>
      </c>
      <c r="G14" s="6"/>
      <c r="H14" s="4" t="s">
        <v>84</v>
      </c>
      <c r="I14" s="6"/>
      <c r="J14" s="6" t="n">
        <v>1</v>
      </c>
      <c r="K14" s="6" t="n">
        <v>32.46667</v>
      </c>
      <c r="L14" s="6" t="n">
        <v>111</v>
      </c>
      <c r="M14" s="6"/>
      <c r="N14" s="6"/>
      <c r="O14" s="7" t="s">
        <v>148</v>
      </c>
      <c r="P14" s="7" t="s">
        <v>149</v>
      </c>
      <c r="Q14" s="8"/>
      <c r="R14" s="8"/>
    </row>
    <row r="15" customFormat="false" ht="15" hidden="false" customHeight="false" outlineLevel="0" collapsed="false">
      <c r="A15" s="6" t="n">
        <v>707</v>
      </c>
      <c r="B15" s="4" t="s">
        <v>150</v>
      </c>
      <c r="C15" s="6" t="s">
        <v>151</v>
      </c>
      <c r="D15" s="4" t="s">
        <v>89</v>
      </c>
      <c r="E15" s="4" t="s">
        <v>142</v>
      </c>
      <c r="F15" s="6" t="n">
        <v>1994</v>
      </c>
      <c r="G15" s="4" t="s">
        <v>152</v>
      </c>
      <c r="H15" s="4" t="s">
        <v>84</v>
      </c>
      <c r="I15" s="6"/>
      <c r="J15" s="6" t="n">
        <v>3</v>
      </c>
      <c r="K15" s="6" t="n">
        <v>29.650248</v>
      </c>
      <c r="L15" s="6" t="n">
        <v>91.133788</v>
      </c>
      <c r="M15" s="6"/>
      <c r="N15" s="6"/>
      <c r="O15" s="7" t="s">
        <v>153</v>
      </c>
      <c r="P15" s="7" t="s">
        <v>154</v>
      </c>
      <c r="Q15" s="8"/>
      <c r="R15" s="8"/>
    </row>
    <row r="16" customFormat="false" ht="15" hidden="false" customHeight="false" outlineLevel="0" collapsed="false">
      <c r="A16" s="6" t="n">
        <v>778</v>
      </c>
      <c r="B16" s="4" t="s">
        <v>155</v>
      </c>
      <c r="C16" s="6" t="s">
        <v>156</v>
      </c>
      <c r="D16" s="4" t="s">
        <v>89</v>
      </c>
      <c r="E16" s="4" t="s">
        <v>157</v>
      </c>
      <c r="F16" s="6" t="n">
        <v>1996</v>
      </c>
      <c r="G16" s="6"/>
      <c r="H16" s="4" t="s">
        <v>84</v>
      </c>
      <c r="I16" s="6"/>
      <c r="J16" s="6" t="n">
        <v>1</v>
      </c>
      <c r="K16" s="6" t="n">
        <v>29.43333333</v>
      </c>
      <c r="L16" s="6" t="n">
        <v>115.8666667</v>
      </c>
      <c r="M16" s="6"/>
      <c r="N16" s="6"/>
      <c r="O16" s="7" t="s">
        <v>158</v>
      </c>
      <c r="P16" s="7" t="s">
        <v>159</v>
      </c>
      <c r="Q16" s="8"/>
      <c r="R16" s="8"/>
    </row>
    <row r="17" customFormat="false" ht="23.85" hidden="false" customHeight="false" outlineLevel="0" collapsed="false">
      <c r="A17" s="6" t="n">
        <v>779</v>
      </c>
      <c r="B17" s="4" t="s">
        <v>160</v>
      </c>
      <c r="C17" s="6" t="s">
        <v>161</v>
      </c>
      <c r="D17" s="4" t="s">
        <v>82</v>
      </c>
      <c r="E17" s="4" t="s">
        <v>162</v>
      </c>
      <c r="F17" s="6" t="n">
        <v>1996</v>
      </c>
      <c r="G17" s="6"/>
      <c r="H17" s="4" t="s">
        <v>84</v>
      </c>
      <c r="I17" s="6"/>
      <c r="J17" s="6" t="n">
        <v>2</v>
      </c>
      <c r="K17" s="6" t="n">
        <v>29.5447222222</v>
      </c>
      <c r="L17" s="6" t="n">
        <v>103.7733333333</v>
      </c>
      <c r="M17" s="6"/>
      <c r="N17" s="6"/>
      <c r="O17" s="7" t="s">
        <v>163</v>
      </c>
      <c r="P17" s="7" t="s">
        <v>164</v>
      </c>
      <c r="Q17" s="8"/>
      <c r="R17" s="8"/>
    </row>
    <row r="18" customFormat="false" ht="15" hidden="false" customHeight="false" outlineLevel="0" collapsed="false">
      <c r="A18" s="6" t="n">
        <v>811</v>
      </c>
      <c r="B18" s="4" t="s">
        <v>165</v>
      </c>
      <c r="C18" s="6" t="s">
        <v>166</v>
      </c>
      <c r="D18" s="4" t="s">
        <v>89</v>
      </c>
      <c r="E18" s="4" t="s">
        <v>167</v>
      </c>
      <c r="F18" s="6" t="n">
        <v>1997</v>
      </c>
      <c r="G18" s="6"/>
      <c r="H18" s="4" t="s">
        <v>84</v>
      </c>
      <c r="I18" s="6"/>
      <c r="J18" s="6" t="n">
        <v>4</v>
      </c>
      <c r="K18" s="6" t="n">
        <v>26.875</v>
      </c>
      <c r="L18" s="6" t="n">
        <v>100.233333333</v>
      </c>
      <c r="M18" s="6"/>
      <c r="N18" s="6"/>
      <c r="O18" s="7" t="s">
        <v>168</v>
      </c>
      <c r="P18" s="7" t="s">
        <v>169</v>
      </c>
      <c r="Q18" s="8"/>
      <c r="R18" s="8"/>
    </row>
    <row r="19" customFormat="false" ht="15" hidden="false" customHeight="false" outlineLevel="0" collapsed="false">
      <c r="A19" s="6" t="n">
        <v>812</v>
      </c>
      <c r="B19" s="4" t="s">
        <v>170</v>
      </c>
      <c r="C19" s="6" t="s">
        <v>171</v>
      </c>
      <c r="D19" s="4" t="s">
        <v>89</v>
      </c>
      <c r="E19" s="4" t="s">
        <v>172</v>
      </c>
      <c r="F19" s="6" t="n">
        <v>1997</v>
      </c>
      <c r="G19" s="6"/>
      <c r="H19" s="4" t="s">
        <v>84</v>
      </c>
      <c r="I19" s="6"/>
      <c r="J19" s="6" t="n">
        <v>3</v>
      </c>
      <c r="K19" s="6" t="n">
        <v>37.170739</v>
      </c>
      <c r="L19" s="6" t="n">
        <v>112.131745</v>
      </c>
      <c r="M19" s="6"/>
      <c r="N19" s="6"/>
      <c r="O19" s="7" t="s">
        <v>173</v>
      </c>
      <c r="P19" s="7" t="s">
        <v>174</v>
      </c>
      <c r="Q19" s="8"/>
      <c r="R19" s="8"/>
    </row>
    <row r="20" customFormat="false" ht="15" hidden="false" customHeight="false" outlineLevel="0" collapsed="false">
      <c r="A20" s="6" t="n">
        <v>813</v>
      </c>
      <c r="B20" s="4" t="s">
        <v>175</v>
      </c>
      <c r="C20" s="6" t="s">
        <v>176</v>
      </c>
      <c r="D20" s="4" t="s">
        <v>89</v>
      </c>
      <c r="E20" s="4" t="s">
        <v>177</v>
      </c>
      <c r="F20" s="6" t="n">
        <v>1997</v>
      </c>
      <c r="G20" s="4" t="s">
        <v>178</v>
      </c>
      <c r="H20" s="4" t="s">
        <v>84</v>
      </c>
      <c r="I20" s="6"/>
      <c r="J20" s="6" t="n">
        <v>9</v>
      </c>
      <c r="K20" s="6" t="n">
        <v>31.157884</v>
      </c>
      <c r="L20" s="6" t="n">
        <v>120.720422</v>
      </c>
      <c r="M20" s="6"/>
      <c r="N20" s="6"/>
      <c r="O20" s="7" t="s">
        <v>179</v>
      </c>
      <c r="P20" s="7" t="s">
        <v>180</v>
      </c>
      <c r="Q20" s="8"/>
      <c r="R20" s="8"/>
    </row>
    <row r="21" customFormat="false" ht="15" hidden="false" customHeight="false" outlineLevel="0" collapsed="false">
      <c r="A21" s="6" t="n">
        <v>880</v>
      </c>
      <c r="B21" s="4" t="s">
        <v>181</v>
      </c>
      <c r="C21" s="6" t="s">
        <v>182</v>
      </c>
      <c r="D21" s="4" t="s">
        <v>89</v>
      </c>
      <c r="E21" s="4" t="s">
        <v>183</v>
      </c>
      <c r="F21" s="6" t="n">
        <v>1998</v>
      </c>
      <c r="G21" s="6"/>
      <c r="H21" s="4" t="s">
        <v>84</v>
      </c>
      <c r="I21" s="6"/>
      <c r="J21" s="6" t="n">
        <v>1</v>
      </c>
      <c r="K21" s="6" t="n">
        <v>39.9969444444</v>
      </c>
      <c r="L21" s="6" t="n">
        <v>116.268027778</v>
      </c>
      <c r="M21" s="6"/>
      <c r="N21" s="6"/>
      <c r="O21" s="7" t="s">
        <v>184</v>
      </c>
      <c r="P21" s="7" t="s">
        <v>185</v>
      </c>
      <c r="Q21" s="8"/>
      <c r="R21" s="8"/>
    </row>
    <row r="22" customFormat="false" ht="23.85" hidden="false" customHeight="false" outlineLevel="0" collapsed="false">
      <c r="A22" s="6" t="n">
        <v>881</v>
      </c>
      <c r="B22" s="4" t="s">
        <v>186</v>
      </c>
      <c r="C22" s="6" t="s">
        <v>187</v>
      </c>
      <c r="D22" s="4" t="s">
        <v>89</v>
      </c>
      <c r="E22" s="4" t="s">
        <v>183</v>
      </c>
      <c r="F22" s="6" t="n">
        <v>1998</v>
      </c>
      <c r="G22" s="6"/>
      <c r="H22" s="4" t="s">
        <v>84</v>
      </c>
      <c r="I22" s="6"/>
      <c r="J22" s="6" t="n">
        <v>1</v>
      </c>
      <c r="K22" s="6" t="n">
        <v>39.8821666667</v>
      </c>
      <c r="L22" s="6" t="n">
        <v>116.406666667</v>
      </c>
      <c r="M22" s="6"/>
      <c r="N22" s="6"/>
      <c r="O22" s="7" t="s">
        <v>188</v>
      </c>
      <c r="P22" s="7" t="s">
        <v>189</v>
      </c>
      <c r="Q22" s="8"/>
      <c r="R22" s="8"/>
    </row>
    <row r="23" customFormat="false" ht="15" hidden="false" customHeight="false" outlineLevel="0" collapsed="false">
      <c r="A23" s="6" t="n">
        <v>911</v>
      </c>
      <c r="B23" s="4" t="s">
        <v>190</v>
      </c>
      <c r="C23" s="6" t="s">
        <v>191</v>
      </c>
      <c r="D23" s="4" t="s">
        <v>82</v>
      </c>
      <c r="E23" s="4" t="s">
        <v>192</v>
      </c>
      <c r="F23" s="6" t="n">
        <v>1999</v>
      </c>
      <c r="G23" s="6"/>
      <c r="H23" s="4" t="s">
        <v>84</v>
      </c>
      <c r="I23" s="6"/>
      <c r="J23" s="6" t="n">
        <v>2</v>
      </c>
      <c r="K23" s="6" t="n">
        <v>27.5544444444</v>
      </c>
      <c r="L23" s="6" t="n">
        <v>118.043055556</v>
      </c>
      <c r="M23" s="6"/>
      <c r="N23" s="6"/>
      <c r="O23" s="7" t="s">
        <v>193</v>
      </c>
      <c r="P23" s="7" t="s">
        <v>194</v>
      </c>
      <c r="Q23" s="8"/>
      <c r="R23" s="8"/>
    </row>
    <row r="24" customFormat="false" ht="15" hidden="false" customHeight="false" outlineLevel="0" collapsed="false">
      <c r="A24" s="6" t="n">
        <v>912</v>
      </c>
      <c r="B24" s="4" t="s">
        <v>195</v>
      </c>
      <c r="C24" s="6" t="s">
        <v>196</v>
      </c>
      <c r="D24" s="4" t="s">
        <v>89</v>
      </c>
      <c r="E24" s="4" t="s">
        <v>183</v>
      </c>
      <c r="F24" s="6" t="n">
        <v>1999</v>
      </c>
      <c r="G24" s="6"/>
      <c r="H24" s="4" t="s">
        <v>84</v>
      </c>
      <c r="I24" s="6"/>
      <c r="J24" s="6" t="n">
        <v>5</v>
      </c>
      <c r="K24" s="6" t="n">
        <v>29.5833333333</v>
      </c>
      <c r="L24" s="6" t="n">
        <v>105.5666666667</v>
      </c>
      <c r="M24" s="6"/>
      <c r="N24" s="6"/>
      <c r="O24" s="7" t="s">
        <v>197</v>
      </c>
      <c r="P24" s="7" t="s">
        <v>198</v>
      </c>
      <c r="Q24" s="8"/>
      <c r="R24" s="8"/>
    </row>
    <row r="25" customFormat="false" ht="23.85" hidden="false" customHeight="false" outlineLevel="0" collapsed="false">
      <c r="A25" s="6" t="n">
        <v>1001</v>
      </c>
      <c r="B25" s="4" t="s">
        <v>199</v>
      </c>
      <c r="C25" s="6" t="s">
        <v>200</v>
      </c>
      <c r="D25" s="4" t="s">
        <v>89</v>
      </c>
      <c r="E25" s="4" t="s">
        <v>201</v>
      </c>
      <c r="F25" s="6" t="n">
        <v>2000</v>
      </c>
      <c r="G25" s="6"/>
      <c r="H25" s="4" t="s">
        <v>84</v>
      </c>
      <c r="I25" s="6"/>
      <c r="J25" s="6" t="n">
        <v>1</v>
      </c>
      <c r="K25" s="6" t="n">
        <v>31.00167</v>
      </c>
      <c r="L25" s="6" t="n">
        <v>103.60528</v>
      </c>
      <c r="M25" s="6"/>
      <c r="N25" s="6"/>
      <c r="O25" s="7" t="s">
        <v>202</v>
      </c>
      <c r="P25" s="7" t="s">
        <v>203</v>
      </c>
      <c r="Q25" s="8"/>
      <c r="R25" s="8"/>
    </row>
    <row r="26" customFormat="false" ht="29.85" hidden="false" customHeight="false" outlineLevel="0" collapsed="false">
      <c r="A26" s="6" t="n">
        <v>1002</v>
      </c>
      <c r="B26" s="4" t="s">
        <v>204</v>
      </c>
      <c r="C26" s="6" t="s">
        <v>205</v>
      </c>
      <c r="D26" s="4" t="s">
        <v>89</v>
      </c>
      <c r="E26" s="4" t="s">
        <v>206</v>
      </c>
      <c r="F26" s="6" t="n">
        <v>2000</v>
      </c>
      <c r="G26" s="6"/>
      <c r="H26" s="4" t="s">
        <v>84</v>
      </c>
      <c r="I26" s="6"/>
      <c r="J26" s="6" t="n">
        <v>2</v>
      </c>
      <c r="K26" s="6" t="n">
        <v>29.9044444444</v>
      </c>
      <c r="L26" s="6" t="n">
        <v>117.9875</v>
      </c>
      <c r="M26" s="6"/>
      <c r="N26" s="6"/>
      <c r="O26" s="7" t="s">
        <v>207</v>
      </c>
      <c r="P26" s="7" t="s">
        <v>208</v>
      </c>
      <c r="Q26" s="8"/>
      <c r="R26" s="8"/>
    </row>
    <row r="27" customFormat="false" ht="15" hidden="false" customHeight="false" outlineLevel="0" collapsed="false">
      <c r="A27" s="6" t="n">
        <v>1003</v>
      </c>
      <c r="B27" s="4" t="s">
        <v>209</v>
      </c>
      <c r="C27" s="6" t="s">
        <v>210</v>
      </c>
      <c r="D27" s="4" t="s">
        <v>89</v>
      </c>
      <c r="E27" s="4" t="s">
        <v>183</v>
      </c>
      <c r="F27" s="6" t="n">
        <v>2000</v>
      </c>
      <c r="G27" s="6"/>
      <c r="H27" s="4" t="s">
        <v>84</v>
      </c>
      <c r="I27" s="6"/>
      <c r="J27" s="6" t="n">
        <v>1</v>
      </c>
      <c r="K27" s="6" t="n">
        <v>34.46666667</v>
      </c>
      <c r="L27" s="6" t="n">
        <v>112.4666667</v>
      </c>
      <c r="M27" s="6"/>
      <c r="N27" s="6"/>
      <c r="O27" s="7" t="s">
        <v>211</v>
      </c>
      <c r="P27" s="7" t="s">
        <v>212</v>
      </c>
      <c r="Q27" s="8"/>
      <c r="R27" s="8"/>
    </row>
    <row r="28" customFormat="false" ht="15" hidden="false" customHeight="false" outlineLevel="0" collapsed="false">
      <c r="A28" s="6" t="n">
        <v>1004</v>
      </c>
      <c r="B28" s="4" t="s">
        <v>213</v>
      </c>
      <c r="C28" s="6" t="s">
        <v>214</v>
      </c>
      <c r="D28" s="4" t="s">
        <v>89</v>
      </c>
      <c r="E28" s="4" t="s">
        <v>90</v>
      </c>
      <c r="F28" s="6" t="n">
        <v>2000</v>
      </c>
      <c r="G28" s="4" t="s">
        <v>215</v>
      </c>
      <c r="H28" s="4" t="s">
        <v>84</v>
      </c>
      <c r="I28" s="6"/>
      <c r="J28" s="6" t="n">
        <v>14</v>
      </c>
      <c r="K28" s="6" t="n">
        <v>31.0166666667</v>
      </c>
      <c r="L28" s="6" t="n">
        <v>112.65</v>
      </c>
      <c r="M28" s="6"/>
      <c r="N28" s="6"/>
      <c r="O28" s="7" t="s">
        <v>216</v>
      </c>
      <c r="P28" s="7" t="s">
        <v>217</v>
      </c>
      <c r="Q28" s="8"/>
      <c r="R28" s="8"/>
    </row>
    <row r="29" customFormat="false" ht="15" hidden="false" customHeight="false" outlineLevel="0" collapsed="false">
      <c r="A29" s="6" t="n">
        <v>1039</v>
      </c>
      <c r="B29" s="4" t="s">
        <v>218</v>
      </c>
      <c r="C29" s="6" t="s">
        <v>219</v>
      </c>
      <c r="D29" s="4" t="s">
        <v>89</v>
      </c>
      <c r="E29" s="4" t="s">
        <v>95</v>
      </c>
      <c r="F29" s="6" t="n">
        <v>2001</v>
      </c>
      <c r="G29" s="6"/>
      <c r="H29" s="4" t="s">
        <v>84</v>
      </c>
      <c r="I29" s="6"/>
      <c r="J29" s="6" t="n">
        <v>1</v>
      </c>
      <c r="K29" s="6" t="n">
        <v>40.10972</v>
      </c>
      <c r="L29" s="6" t="n">
        <v>113.12222</v>
      </c>
      <c r="M29" s="6"/>
      <c r="N29" s="6"/>
      <c r="O29" s="7" t="s">
        <v>220</v>
      </c>
      <c r="P29" s="7" t="s">
        <v>221</v>
      </c>
      <c r="Q29" s="8"/>
      <c r="R29" s="8"/>
    </row>
    <row r="30" customFormat="false" ht="15" hidden="false" customHeight="false" outlineLevel="0" collapsed="false">
      <c r="A30" s="6" t="n">
        <v>1083</v>
      </c>
      <c r="B30" s="4" t="s">
        <v>222</v>
      </c>
      <c r="C30" s="6" t="s">
        <v>223</v>
      </c>
      <c r="D30" s="4" t="s">
        <v>123</v>
      </c>
      <c r="E30" s="4" t="s">
        <v>224</v>
      </c>
      <c r="F30" s="6" t="n">
        <v>2003</v>
      </c>
      <c r="G30" s="6"/>
      <c r="H30" s="4" t="s">
        <v>84</v>
      </c>
      <c r="I30" s="6"/>
      <c r="J30" s="6" t="n">
        <v>1</v>
      </c>
      <c r="K30" s="6" t="n">
        <v>27.895</v>
      </c>
      <c r="L30" s="6" t="n">
        <v>98.40638889</v>
      </c>
      <c r="M30" s="6"/>
      <c r="N30" s="6"/>
      <c r="O30" s="7" t="s">
        <v>225</v>
      </c>
      <c r="P30" s="7" t="s">
        <v>226</v>
      </c>
      <c r="Q30" s="8"/>
      <c r="R30" s="8"/>
    </row>
    <row r="31" customFormat="false" ht="23.85" hidden="false" customHeight="false" outlineLevel="0" collapsed="false">
      <c r="A31" s="6" t="n">
        <v>1135</v>
      </c>
      <c r="B31" s="4" t="s">
        <v>227</v>
      </c>
      <c r="C31" s="6" t="s">
        <v>228</v>
      </c>
      <c r="D31" s="4" t="s">
        <v>89</v>
      </c>
      <c r="E31" s="4" t="s">
        <v>177</v>
      </c>
      <c r="F31" s="6" t="n">
        <v>2004</v>
      </c>
      <c r="G31" s="6"/>
      <c r="H31" s="4" t="s">
        <v>84</v>
      </c>
      <c r="I31" s="6"/>
      <c r="J31" s="6" t="n">
        <v>5</v>
      </c>
      <c r="K31" s="6" t="n">
        <v>41.1387222222</v>
      </c>
      <c r="L31" s="6" t="n">
        <v>126.176194444</v>
      </c>
      <c r="M31" s="6"/>
      <c r="N31" s="6"/>
      <c r="O31" s="7" t="s">
        <v>229</v>
      </c>
      <c r="P31" s="7" t="s">
        <v>230</v>
      </c>
      <c r="Q31" s="8"/>
      <c r="R31" s="8"/>
    </row>
    <row r="32" customFormat="false" ht="23.85" hidden="false" customHeight="false" outlineLevel="0" collapsed="false">
      <c r="A32" s="6" t="n">
        <v>1110</v>
      </c>
      <c r="B32" s="4" t="s">
        <v>231</v>
      </c>
      <c r="C32" s="6" t="s">
        <v>232</v>
      </c>
      <c r="D32" s="4" t="s">
        <v>89</v>
      </c>
      <c r="E32" s="4" t="s">
        <v>157</v>
      </c>
      <c r="F32" s="6" t="n">
        <v>2005</v>
      </c>
      <c r="G32" s="6"/>
      <c r="H32" s="4" t="s">
        <v>84</v>
      </c>
      <c r="I32" s="6"/>
      <c r="J32" s="6" t="n">
        <v>2</v>
      </c>
      <c r="K32" s="6" t="n">
        <v>22.1911111111</v>
      </c>
      <c r="L32" s="6" t="n">
        <v>113.5363888889</v>
      </c>
      <c r="M32" s="4" t="s">
        <v>233</v>
      </c>
      <c r="N32" s="4" t="s">
        <v>234</v>
      </c>
      <c r="O32" s="7" t="s">
        <v>235</v>
      </c>
      <c r="P32" s="7" t="s">
        <v>236</v>
      </c>
      <c r="Q32" s="8"/>
      <c r="R32" s="8"/>
    </row>
    <row r="33" customFormat="false" ht="15" hidden="false" customHeight="false" outlineLevel="0" collapsed="false">
      <c r="A33" s="6" t="n">
        <v>1114</v>
      </c>
      <c r="B33" s="4" t="s">
        <v>237</v>
      </c>
      <c r="C33" s="6" t="s">
        <v>238</v>
      </c>
      <c r="D33" s="4" t="s">
        <v>89</v>
      </c>
      <c r="E33" s="4" t="s">
        <v>157</v>
      </c>
      <c r="F33" s="6" t="n">
        <v>2006</v>
      </c>
      <c r="G33" s="6"/>
      <c r="H33" s="4" t="s">
        <v>84</v>
      </c>
      <c r="I33" s="6"/>
      <c r="J33" s="6" t="n">
        <v>2</v>
      </c>
      <c r="K33" s="6" t="n">
        <v>36.121978</v>
      </c>
      <c r="L33" s="6" t="n">
        <v>114.325162</v>
      </c>
      <c r="M33" s="6"/>
      <c r="N33" s="6"/>
      <c r="O33" s="7" t="s">
        <v>239</v>
      </c>
      <c r="P33" s="7" t="s">
        <v>240</v>
      </c>
      <c r="Q33" s="8"/>
      <c r="R33" s="8"/>
    </row>
    <row r="34" customFormat="false" ht="23.85" hidden="false" customHeight="false" outlineLevel="0" collapsed="false">
      <c r="A34" s="6" t="n">
        <v>1213</v>
      </c>
      <c r="B34" s="4" t="s">
        <v>241</v>
      </c>
      <c r="C34" s="6" t="s">
        <v>242</v>
      </c>
      <c r="D34" s="4" t="s">
        <v>123</v>
      </c>
      <c r="E34" s="4" t="s">
        <v>243</v>
      </c>
      <c r="F34" s="6" t="n">
        <v>2006</v>
      </c>
      <c r="G34" s="6"/>
      <c r="H34" s="4" t="s">
        <v>84</v>
      </c>
      <c r="I34" s="6"/>
      <c r="J34" s="6" t="n">
        <v>1</v>
      </c>
      <c r="K34" s="6" t="n">
        <v>30.8333333333</v>
      </c>
      <c r="L34" s="6" t="n">
        <v>103</v>
      </c>
      <c r="M34" s="6"/>
      <c r="N34" s="6"/>
      <c r="O34" s="7" t="s">
        <v>244</v>
      </c>
      <c r="P34" s="7" t="s">
        <v>245</v>
      </c>
      <c r="Q34" s="8"/>
      <c r="R34" s="8"/>
    </row>
    <row r="35" customFormat="false" ht="35.05" hidden="false" customHeight="false" outlineLevel="0" collapsed="false">
      <c r="A35" s="6" t="n">
        <v>1112</v>
      </c>
      <c r="B35" s="4" t="s">
        <v>246</v>
      </c>
      <c r="C35" s="6" t="s">
        <v>247</v>
      </c>
      <c r="D35" s="4" t="s">
        <v>89</v>
      </c>
      <c r="E35" s="4" t="s">
        <v>172</v>
      </c>
      <c r="F35" s="6" t="n">
        <v>2007</v>
      </c>
      <c r="G35" s="6"/>
      <c r="H35" s="4" t="s">
        <v>84</v>
      </c>
      <c r="I35" s="6"/>
      <c r="J35" s="6" t="n">
        <v>4</v>
      </c>
      <c r="K35" s="6" t="n">
        <v>22.258774</v>
      </c>
      <c r="L35" s="6" t="n">
        <v>112.525727</v>
      </c>
      <c r="M35" s="4" t="s">
        <v>248</v>
      </c>
      <c r="N35" s="4" t="s">
        <v>249</v>
      </c>
      <c r="O35" s="7" t="s">
        <v>250</v>
      </c>
      <c r="P35" s="7" t="s">
        <v>251</v>
      </c>
      <c r="Q35" s="8"/>
      <c r="R35" s="8"/>
    </row>
    <row r="36" customFormat="false" ht="15" hidden="false" customHeight="false" outlineLevel="0" collapsed="false">
      <c r="A36" s="6" t="n">
        <v>1248</v>
      </c>
      <c r="B36" s="4" t="s">
        <v>252</v>
      </c>
      <c r="C36" s="6" t="s">
        <v>253</v>
      </c>
      <c r="D36" s="4" t="s">
        <v>123</v>
      </c>
      <c r="E36" s="4" t="s">
        <v>254</v>
      </c>
      <c r="F36" s="6" t="n">
        <v>2007</v>
      </c>
      <c r="G36" s="4" t="s">
        <v>255</v>
      </c>
      <c r="H36" s="4" t="s">
        <v>84</v>
      </c>
      <c r="I36" s="6"/>
      <c r="J36" s="6" t="n">
        <v>12</v>
      </c>
      <c r="K36" s="6" t="n">
        <v>24.7177777778</v>
      </c>
      <c r="L36" s="6" t="n">
        <v>103.344166667</v>
      </c>
      <c r="M36" s="6"/>
      <c r="N36" s="6"/>
      <c r="O36" s="7" t="s">
        <v>256</v>
      </c>
      <c r="P36" s="7" t="s">
        <v>257</v>
      </c>
      <c r="Q36" s="8"/>
      <c r="R36" s="8"/>
    </row>
    <row r="37" customFormat="false" ht="15" hidden="false" customHeight="false" outlineLevel="0" collapsed="false">
      <c r="A37" s="6" t="n">
        <v>1113</v>
      </c>
      <c r="B37" s="4" t="s">
        <v>258</v>
      </c>
      <c r="C37" s="6" t="s">
        <v>259</v>
      </c>
      <c r="D37" s="4" t="s">
        <v>89</v>
      </c>
      <c r="E37" s="4" t="s">
        <v>206</v>
      </c>
      <c r="F37" s="6" t="n">
        <v>2008</v>
      </c>
      <c r="G37" s="6"/>
      <c r="H37" s="4" t="s">
        <v>84</v>
      </c>
      <c r="I37" s="6"/>
      <c r="J37" s="6" t="n">
        <v>10</v>
      </c>
      <c r="K37" s="6" t="n">
        <v>24.5508333333</v>
      </c>
      <c r="L37" s="6" t="n">
        <v>116.9002777778</v>
      </c>
      <c r="M37" s="6"/>
      <c r="N37" s="6"/>
      <c r="O37" s="7" t="s">
        <v>260</v>
      </c>
      <c r="P37" s="7" t="s">
        <v>261</v>
      </c>
      <c r="Q37" s="8"/>
      <c r="R37" s="8"/>
    </row>
    <row r="38" customFormat="false" ht="15" hidden="false" customHeight="false" outlineLevel="0" collapsed="false">
      <c r="A38" s="6" t="n">
        <v>1292</v>
      </c>
      <c r="B38" s="4" t="s">
        <v>262</v>
      </c>
      <c r="C38" s="6" t="s">
        <v>263</v>
      </c>
      <c r="D38" s="4" t="s">
        <v>123</v>
      </c>
      <c r="E38" s="4" t="s">
        <v>124</v>
      </c>
      <c r="F38" s="6" t="n">
        <v>2008</v>
      </c>
      <c r="G38" s="6"/>
      <c r="H38" s="4" t="s">
        <v>84</v>
      </c>
      <c r="I38" s="6"/>
      <c r="J38" s="6" t="n">
        <v>1</v>
      </c>
      <c r="K38" s="6" t="n">
        <v>28.9158333333</v>
      </c>
      <c r="L38" s="6" t="n">
        <v>118.0644444444</v>
      </c>
      <c r="M38" s="6"/>
      <c r="N38" s="6"/>
      <c r="O38" s="7" t="s">
        <v>264</v>
      </c>
      <c r="P38" s="7" t="s">
        <v>265</v>
      </c>
      <c r="Q38" s="8"/>
      <c r="R38" s="8"/>
    </row>
    <row r="39" customFormat="false" ht="15" hidden="false" customHeight="false" outlineLevel="0" collapsed="false">
      <c r="A39" s="6" t="n">
        <v>1279</v>
      </c>
      <c r="B39" s="4" t="s">
        <v>266</v>
      </c>
      <c r="C39" s="6" t="s">
        <v>267</v>
      </c>
      <c r="D39" s="4" t="s">
        <v>89</v>
      </c>
      <c r="E39" s="4" t="s">
        <v>157</v>
      </c>
      <c r="F39" s="6" t="n">
        <v>2009</v>
      </c>
      <c r="G39" s="6"/>
      <c r="H39" s="4" t="s">
        <v>84</v>
      </c>
      <c r="I39" s="6"/>
      <c r="J39" s="6" t="n">
        <v>2</v>
      </c>
      <c r="K39" s="6" t="n">
        <v>38.8822222222</v>
      </c>
      <c r="L39" s="6" t="n">
        <v>113.3494444444</v>
      </c>
      <c r="M39" s="6"/>
      <c r="N39" s="6"/>
      <c r="O39" s="7" t="s">
        <v>268</v>
      </c>
      <c r="P39" s="7" t="s">
        <v>269</v>
      </c>
      <c r="Q39" s="8"/>
      <c r="R39" s="8"/>
    </row>
    <row r="40" customFormat="false" ht="23.85" hidden="false" customHeight="false" outlineLevel="0" collapsed="false">
      <c r="A40" s="6" t="n">
        <v>1305</v>
      </c>
      <c r="B40" s="4" t="s">
        <v>270</v>
      </c>
      <c r="C40" s="6" t="s">
        <v>271</v>
      </c>
      <c r="D40" s="4" t="s">
        <v>89</v>
      </c>
      <c r="E40" s="4" t="s">
        <v>113</v>
      </c>
      <c r="F40" s="6" t="n">
        <v>2010</v>
      </c>
      <c r="G40" s="6"/>
      <c r="H40" s="4" t="s">
        <v>84</v>
      </c>
      <c r="I40" s="6"/>
      <c r="J40" s="6" t="n">
        <v>8</v>
      </c>
      <c r="K40" s="6" t="n">
        <v>34.3997138889</v>
      </c>
      <c r="L40" s="6" t="n">
        <v>113.1412444444</v>
      </c>
      <c r="M40" s="6"/>
      <c r="N40" s="6"/>
      <c r="O40" s="7" t="s">
        <v>272</v>
      </c>
      <c r="P40" s="7" t="s">
        <v>273</v>
      </c>
      <c r="Q40" s="8"/>
      <c r="R40" s="8"/>
    </row>
    <row r="41" customFormat="false" ht="15" hidden="false" customHeight="false" outlineLevel="0" collapsed="false">
      <c r="A41" s="6" t="n">
        <v>1335</v>
      </c>
      <c r="B41" s="4" t="s">
        <v>274</v>
      </c>
      <c r="C41" s="6" t="s">
        <v>275</v>
      </c>
      <c r="D41" s="4" t="s">
        <v>123</v>
      </c>
      <c r="E41" s="4" t="s">
        <v>254</v>
      </c>
      <c r="F41" s="6" t="n">
        <v>2010</v>
      </c>
      <c r="G41" s="6"/>
      <c r="H41" s="4" t="s">
        <v>84</v>
      </c>
      <c r="I41" s="6"/>
      <c r="J41" s="6" t="n">
        <v>9</v>
      </c>
      <c r="K41" s="6" t="n">
        <v>24.9652777778</v>
      </c>
      <c r="L41" s="6" t="n">
        <v>113.7033333333</v>
      </c>
      <c r="M41" s="6"/>
      <c r="N41" s="6"/>
      <c r="O41" s="7" t="s">
        <v>276</v>
      </c>
      <c r="P41" s="7" t="s">
        <v>277</v>
      </c>
      <c r="Q41" s="8"/>
      <c r="R41" s="8"/>
    </row>
    <row r="42" customFormat="false" ht="15" hidden="false" customHeight="false" outlineLevel="0" collapsed="false">
      <c r="A42" s="6" t="n">
        <v>1334</v>
      </c>
      <c r="B42" s="4" t="s">
        <v>278</v>
      </c>
      <c r="C42" s="6" t="s">
        <v>279</v>
      </c>
      <c r="D42" s="4" t="s">
        <v>89</v>
      </c>
      <c r="E42" s="4" t="s">
        <v>280</v>
      </c>
      <c r="F42" s="6" t="n">
        <v>2011</v>
      </c>
      <c r="G42" s="6"/>
      <c r="H42" s="4" t="s">
        <v>84</v>
      </c>
      <c r="I42" s="6"/>
      <c r="J42" s="6" t="n">
        <v>1</v>
      </c>
      <c r="K42" s="6" t="n">
        <v>30.2375</v>
      </c>
      <c r="L42" s="6" t="n">
        <v>120.1408333333</v>
      </c>
      <c r="M42" s="6"/>
      <c r="N42" s="6"/>
      <c r="O42" s="7" t="s">
        <v>281</v>
      </c>
      <c r="P42" s="7" t="s">
        <v>282</v>
      </c>
      <c r="Q42" s="8"/>
      <c r="R42" s="8"/>
    </row>
    <row r="43" customFormat="false" ht="15" hidden="false" customHeight="false" outlineLevel="0" collapsed="false">
      <c r="A43" s="6" t="n">
        <v>1388</v>
      </c>
      <c r="B43" s="4" t="s">
        <v>283</v>
      </c>
      <c r="C43" s="6" t="s">
        <v>284</v>
      </c>
      <c r="D43" s="4" t="s">
        <v>123</v>
      </c>
      <c r="E43" s="4" t="s">
        <v>285</v>
      </c>
      <c r="F43" s="6" t="n">
        <v>2012</v>
      </c>
      <c r="G43" s="6"/>
      <c r="H43" s="4" t="s">
        <v>84</v>
      </c>
      <c r="I43" s="6"/>
      <c r="J43" s="6" t="n">
        <v>1</v>
      </c>
      <c r="K43" s="6" t="n">
        <v>24.6688888889</v>
      </c>
      <c r="L43" s="6" t="n">
        <v>102.9772222222</v>
      </c>
      <c r="M43" s="6"/>
      <c r="N43" s="6"/>
      <c r="O43" s="7" t="s">
        <v>286</v>
      </c>
      <c r="P43" s="7" t="s">
        <v>287</v>
      </c>
      <c r="Q43" s="8"/>
      <c r="R43" s="8"/>
    </row>
    <row r="44" customFormat="false" ht="23.85" hidden="false" customHeight="false" outlineLevel="0" collapsed="false">
      <c r="A44" s="6" t="n">
        <v>1389</v>
      </c>
      <c r="B44" s="4" t="s">
        <v>288</v>
      </c>
      <c r="C44" s="6" t="s">
        <v>289</v>
      </c>
      <c r="D44" s="4" t="s">
        <v>89</v>
      </c>
      <c r="E44" s="4" t="s">
        <v>157</v>
      </c>
      <c r="F44" s="6" t="n">
        <v>2012</v>
      </c>
      <c r="G44" s="6"/>
      <c r="H44" s="4" t="s">
        <v>84</v>
      </c>
      <c r="I44" s="6"/>
      <c r="J44" s="6" t="n">
        <v>1</v>
      </c>
      <c r="K44" s="6" t="n">
        <v>42.358</v>
      </c>
      <c r="L44" s="6" t="n">
        <v>116.1851277778</v>
      </c>
      <c r="M44" s="4" t="s">
        <v>290</v>
      </c>
      <c r="N44" s="4" t="s">
        <v>291</v>
      </c>
      <c r="O44" s="7" t="s">
        <v>292</v>
      </c>
      <c r="P44" s="7" t="s">
        <v>293</v>
      </c>
      <c r="Q44" s="8"/>
      <c r="R44" s="8"/>
    </row>
    <row r="45" customFormat="false" ht="15" hidden="false" customHeight="false" outlineLevel="0" collapsed="false">
      <c r="A45" s="6" t="n">
        <v>1111</v>
      </c>
      <c r="B45" s="4" t="s">
        <v>294</v>
      </c>
      <c r="C45" s="6"/>
      <c r="D45" s="4" t="s">
        <v>89</v>
      </c>
      <c r="E45" s="4" t="s">
        <v>295</v>
      </c>
      <c r="F45" s="6" t="n">
        <v>2013</v>
      </c>
      <c r="G45" s="6"/>
      <c r="H45" s="4" t="s">
        <v>84</v>
      </c>
      <c r="I45" s="6"/>
      <c r="J45" s="6" t="n">
        <v>1</v>
      </c>
      <c r="K45" s="6" t="n">
        <v>23.0932777778</v>
      </c>
      <c r="L45" s="6" t="n">
        <v>102.7799805556</v>
      </c>
      <c r="M45" s="6"/>
      <c r="N45" s="6"/>
      <c r="O45" s="7" t="s">
        <v>296</v>
      </c>
      <c r="P45" s="7" t="s">
        <v>297</v>
      </c>
      <c r="Q45" s="8"/>
      <c r="R45" s="8"/>
    </row>
    <row r="46" customFormat="false" ht="15" hidden="false" customHeight="false" outlineLevel="0" collapsed="false">
      <c r="A46" s="6" t="n">
        <v>1414</v>
      </c>
      <c r="B46" s="4" t="s">
        <v>298</v>
      </c>
      <c r="C46" s="6"/>
      <c r="D46" s="4" t="s">
        <v>123</v>
      </c>
      <c r="E46" s="4" t="s">
        <v>299</v>
      </c>
      <c r="F46" s="6" t="n">
        <v>2013</v>
      </c>
      <c r="G46" s="6"/>
      <c r="H46" s="4" t="s">
        <v>84</v>
      </c>
      <c r="I46" s="6"/>
      <c r="J46" s="6" t="n">
        <v>4</v>
      </c>
      <c r="K46" s="6" t="n">
        <v>41.9683333333</v>
      </c>
      <c r="L46" s="6" t="n">
        <v>80.3541666667</v>
      </c>
      <c r="M46" s="6"/>
      <c r="N46" s="6"/>
      <c r="O46" s="7" t="s">
        <v>300</v>
      </c>
      <c r="P46" s="7" t="s">
        <v>301</v>
      </c>
      <c r="Q46" s="8"/>
      <c r="R46" s="8"/>
    </row>
    <row r="47" customFormat="false" ht="35.05" hidden="false" customHeight="false" outlineLevel="0" collapsed="false">
      <c r="A47" s="6" t="n">
        <v>1442</v>
      </c>
      <c r="B47" s="4" t="s">
        <v>302</v>
      </c>
      <c r="C47" s="6"/>
      <c r="D47" s="4" t="s">
        <v>89</v>
      </c>
      <c r="E47" s="4" t="s">
        <v>303</v>
      </c>
      <c r="F47" s="6" t="n">
        <v>2014</v>
      </c>
      <c r="G47" s="6"/>
      <c r="H47" s="4" t="s">
        <v>304</v>
      </c>
      <c r="I47" s="4" t="s">
        <v>305</v>
      </c>
      <c r="J47" s="6" t="n">
        <v>33</v>
      </c>
      <c r="K47" s="6" t="n">
        <v>33.1588888889</v>
      </c>
      <c r="L47" s="6" t="n">
        <v>107.291111111</v>
      </c>
      <c r="M47" s="4" t="s">
        <v>102</v>
      </c>
      <c r="N47" s="4" t="s">
        <v>306</v>
      </c>
      <c r="O47" s="7" t="s">
        <v>307</v>
      </c>
      <c r="P47" s="7" t="s">
        <v>308</v>
      </c>
      <c r="Q47" s="8"/>
      <c r="R47" s="8"/>
    </row>
    <row r="48" customFormat="false" ht="15" hidden="false" customHeight="false" outlineLevel="0" collapsed="false">
      <c r="A48" s="6" t="n">
        <v>1443</v>
      </c>
      <c r="B48" s="4" t="s">
        <v>309</v>
      </c>
      <c r="C48" s="6"/>
      <c r="D48" s="4" t="s">
        <v>89</v>
      </c>
      <c r="E48" s="4" t="s">
        <v>108</v>
      </c>
      <c r="F48" s="6" t="n">
        <v>2014</v>
      </c>
      <c r="G48" s="6"/>
      <c r="H48" s="4" t="s">
        <v>84</v>
      </c>
      <c r="I48" s="6"/>
      <c r="J48" s="6" t="n">
        <v>31</v>
      </c>
      <c r="K48" s="6" t="n">
        <v>29.8747222222</v>
      </c>
      <c r="L48" s="6" t="n">
        <v>121.557222222</v>
      </c>
      <c r="M48" s="6"/>
      <c r="N48" s="6"/>
      <c r="O48" s="7" t="s">
        <v>310</v>
      </c>
      <c r="P48" s="7" t="s">
        <v>311</v>
      </c>
      <c r="Q48" s="8"/>
      <c r="R48" s="8"/>
    </row>
    <row r="49" customFormat="false" ht="15" hidden="false" customHeight="false" outlineLevel="0" collapsed="false">
      <c r="A49" s="6" t="n">
        <v>1474</v>
      </c>
      <c r="B49" s="4" t="s">
        <v>312</v>
      </c>
      <c r="C49" s="6" t="s">
        <v>313</v>
      </c>
      <c r="D49" s="4" t="s">
        <v>89</v>
      </c>
      <c r="E49" s="4" t="s">
        <v>314</v>
      </c>
      <c r="F49" s="6" t="n">
        <v>2015</v>
      </c>
      <c r="G49" s="6"/>
      <c r="H49" s="4" t="s">
        <v>84</v>
      </c>
      <c r="I49" s="6"/>
      <c r="J49" s="6" t="n">
        <v>3</v>
      </c>
      <c r="K49" s="6" t="n">
        <v>27.8116666667</v>
      </c>
      <c r="L49" s="6" t="n">
        <v>106.8169444444</v>
      </c>
      <c r="M49" s="6"/>
      <c r="N49" s="6"/>
      <c r="O49" s="7" t="s">
        <v>315</v>
      </c>
      <c r="P49" s="7" t="s">
        <v>316</v>
      </c>
      <c r="Q49" s="8"/>
      <c r="R49" s="8"/>
    </row>
    <row r="50" customFormat="false" ht="15" hidden="false" customHeight="false" outlineLevel="0" collapsed="false">
      <c r="A50" s="6" t="n">
        <v>1508</v>
      </c>
      <c r="B50" s="4" t="s">
        <v>317</v>
      </c>
      <c r="C50" s="6" t="s">
        <v>318</v>
      </c>
      <c r="D50" s="4" t="s">
        <v>89</v>
      </c>
      <c r="E50" s="4" t="s">
        <v>113</v>
      </c>
      <c r="F50" s="6" t="n">
        <v>2016</v>
      </c>
      <c r="G50" s="6"/>
      <c r="H50" s="4" t="s">
        <v>84</v>
      </c>
      <c r="I50" s="6"/>
      <c r="J50" s="6" t="n">
        <v>3</v>
      </c>
      <c r="K50" s="6" t="n">
        <v>22.2555555556</v>
      </c>
      <c r="L50" s="6" t="n">
        <v>107.031388889</v>
      </c>
      <c r="M50" s="6"/>
      <c r="N50" s="6"/>
      <c r="O50" s="7" t="s">
        <v>319</v>
      </c>
      <c r="P50" s="7" t="s">
        <v>320</v>
      </c>
      <c r="Q50" s="8"/>
      <c r="R50" s="8"/>
    </row>
    <row r="51" customFormat="false" ht="15" hidden="false" customHeight="false" outlineLevel="0" collapsed="false">
      <c r="A51" s="6" t="n">
        <v>1509</v>
      </c>
      <c r="B51" s="4" t="s">
        <v>321</v>
      </c>
      <c r="C51" s="6" t="s">
        <v>322</v>
      </c>
      <c r="D51" s="4" t="s">
        <v>123</v>
      </c>
      <c r="E51" s="4" t="s">
        <v>323</v>
      </c>
      <c r="F51" s="6" t="n">
        <v>2016</v>
      </c>
      <c r="G51" s="6"/>
      <c r="H51" s="4" t="s">
        <v>84</v>
      </c>
      <c r="I51" s="6"/>
      <c r="J51" s="6" t="n">
        <v>2</v>
      </c>
      <c r="K51" s="6" t="n">
        <v>31.4630555556</v>
      </c>
      <c r="L51" s="6" t="n">
        <v>110.509166667</v>
      </c>
      <c r="M51" s="6"/>
      <c r="N51" s="6"/>
      <c r="O51" s="7" t="s">
        <v>324</v>
      </c>
      <c r="P51" s="7" t="s">
        <v>325</v>
      </c>
      <c r="Q51" s="8"/>
      <c r="R51" s="8"/>
    </row>
    <row r="52" customFormat="false" ht="15" hidden="false" customHeight="false" outlineLevel="0" collapsed="false">
      <c r="A52" s="6" t="n">
        <v>1540</v>
      </c>
      <c r="B52" s="4" t="s">
        <v>326</v>
      </c>
      <c r="C52" s="6"/>
      <c r="D52" s="4" t="s">
        <v>123</v>
      </c>
      <c r="E52" s="4" t="s">
        <v>327</v>
      </c>
      <c r="F52" s="6" t="n">
        <v>2017</v>
      </c>
      <c r="G52" s="6"/>
      <c r="H52" s="4" t="s">
        <v>84</v>
      </c>
      <c r="I52" s="6"/>
      <c r="J52" s="6" t="n">
        <v>1</v>
      </c>
      <c r="K52" s="6" t="n">
        <v>35.3802777778</v>
      </c>
      <c r="L52" s="6" t="n">
        <v>92.4391666667</v>
      </c>
      <c r="M52" s="6"/>
      <c r="N52" s="6"/>
      <c r="O52" s="7" t="s">
        <v>328</v>
      </c>
      <c r="P52" s="7" t="s">
        <v>329</v>
      </c>
      <c r="Q52" s="8"/>
      <c r="R52" s="8"/>
    </row>
    <row r="53" customFormat="false" ht="23.85" hidden="false" customHeight="false" outlineLevel="0" collapsed="false">
      <c r="A53" s="6" t="n">
        <v>1541</v>
      </c>
      <c r="B53" s="4" t="s">
        <v>330</v>
      </c>
      <c r="C53" s="6"/>
      <c r="D53" s="4" t="s">
        <v>89</v>
      </c>
      <c r="E53" s="4" t="s">
        <v>137</v>
      </c>
      <c r="F53" s="6" t="n">
        <v>2017</v>
      </c>
      <c r="G53" s="6"/>
      <c r="H53" s="4" t="s">
        <v>84</v>
      </c>
      <c r="I53" s="6"/>
      <c r="J53" s="6" t="n">
        <v>1</v>
      </c>
      <c r="K53" s="6" t="n">
        <v>24.4475</v>
      </c>
      <c r="L53" s="6" t="n">
        <v>118.0619444444</v>
      </c>
      <c r="M53" s="4" t="s">
        <v>331</v>
      </c>
      <c r="N53" s="4" t="s">
        <v>332</v>
      </c>
      <c r="O53" s="7" t="s">
        <v>333</v>
      </c>
      <c r="P53" s="7" t="s">
        <v>334</v>
      </c>
      <c r="Q53" s="8"/>
      <c r="R53" s="8"/>
    </row>
    <row r="54" customFormat="false" ht="15" hidden="false" customHeight="false" outlineLevel="0" collapsed="false">
      <c r="A54" s="6" t="n">
        <v>1559</v>
      </c>
      <c r="B54" s="4" t="s">
        <v>335</v>
      </c>
      <c r="C54" s="6" t="s">
        <v>336</v>
      </c>
      <c r="D54" s="4" t="s">
        <v>123</v>
      </c>
      <c r="E54" s="4" t="s">
        <v>243</v>
      </c>
      <c r="F54" s="6" t="n">
        <v>2018</v>
      </c>
      <c r="G54" s="6"/>
      <c r="H54" s="4" t="s">
        <v>84</v>
      </c>
      <c r="I54" s="6"/>
      <c r="J54" s="6" t="n">
        <v>1</v>
      </c>
      <c r="K54" s="6" t="n">
        <v>27.8955555556</v>
      </c>
      <c r="L54" s="6" t="n">
        <v>108.68</v>
      </c>
      <c r="M54" s="6"/>
      <c r="N54" s="6"/>
      <c r="O54" s="7" t="s">
        <v>337</v>
      </c>
      <c r="P54" s="7" t="s">
        <v>338</v>
      </c>
      <c r="Q54" s="8"/>
      <c r="R54" s="8"/>
    </row>
    <row r="55" customFormat="false" ht="15" hidden="false" customHeight="false" outlineLevel="0" collapsed="false">
      <c r="A55" s="6" t="n">
        <v>1592</v>
      </c>
      <c r="B55" s="4" t="s">
        <v>339</v>
      </c>
      <c r="C55" s="6" t="s">
        <v>340</v>
      </c>
      <c r="D55" s="4" t="s">
        <v>89</v>
      </c>
      <c r="E55" s="4" t="s">
        <v>341</v>
      </c>
      <c r="F55" s="6" t="n">
        <v>2019</v>
      </c>
      <c r="G55" s="6"/>
      <c r="H55" s="4" t="s">
        <v>84</v>
      </c>
      <c r="I55" s="6"/>
      <c r="J55" s="6" t="n">
        <v>4</v>
      </c>
      <c r="K55" s="6" t="n">
        <v>30.39555</v>
      </c>
      <c r="L55" s="6" t="n">
        <v>119.990827778</v>
      </c>
      <c r="M55" s="6"/>
      <c r="N55" s="6"/>
      <c r="O55" s="7" t="s">
        <v>342</v>
      </c>
      <c r="P55" s="7" t="s">
        <v>343</v>
      </c>
      <c r="Q55" s="8"/>
      <c r="R55" s="8"/>
    </row>
    <row r="56" customFormat="false" ht="23.85" hidden="false" customHeight="false" outlineLevel="0" collapsed="false">
      <c r="A56" s="6" t="n">
        <v>1606</v>
      </c>
      <c r="B56" s="4" t="s">
        <v>344</v>
      </c>
      <c r="C56" s="6" t="s">
        <v>345</v>
      </c>
      <c r="D56" s="4" t="s">
        <v>123</v>
      </c>
      <c r="E56" s="4" t="s">
        <v>243</v>
      </c>
      <c r="F56" s="6" t="n">
        <v>2019</v>
      </c>
      <c r="G56" s="4" t="s">
        <v>346</v>
      </c>
      <c r="H56" s="4" t="s">
        <v>84</v>
      </c>
      <c r="I56" s="6"/>
      <c r="J56" s="6" t="n">
        <v>12</v>
      </c>
      <c r="K56" s="6" t="n">
        <v>31.5129166667</v>
      </c>
      <c r="L56" s="6" t="n">
        <v>121.999388889</v>
      </c>
      <c r="M56" s="6"/>
      <c r="N56" s="6"/>
      <c r="O56" s="7" t="s">
        <v>347</v>
      </c>
      <c r="P56" s="7" t="s">
        <v>348</v>
      </c>
      <c r="Q56" s="8"/>
      <c r="R56" s="8"/>
    </row>
    <row r="57" customFormat="false" ht="35.05" hidden="false" customHeight="false" outlineLevel="0" collapsed="false">
      <c r="A57" s="6" t="n">
        <v>1561</v>
      </c>
      <c r="B57" s="4" t="s">
        <v>349</v>
      </c>
      <c r="C57" s="6" t="s">
        <v>350</v>
      </c>
      <c r="D57" s="4" t="s">
        <v>89</v>
      </c>
      <c r="E57" s="4" t="s">
        <v>351</v>
      </c>
      <c r="F57" s="6" t="n">
        <v>2021</v>
      </c>
      <c r="G57" s="6"/>
      <c r="H57" s="4" t="s">
        <v>84</v>
      </c>
      <c r="I57" s="6"/>
      <c r="J57" s="6" t="n">
        <v>16</v>
      </c>
      <c r="K57" s="6" t="n">
        <v>24.7102777778</v>
      </c>
      <c r="L57" s="6" t="n">
        <v>118.444166667</v>
      </c>
      <c r="M57" s="4" t="s">
        <v>352</v>
      </c>
      <c r="N57" s="4" t="s">
        <v>353</v>
      </c>
      <c r="O57" s="7" t="s">
        <v>354</v>
      </c>
      <c r="P57" s="7" t="s">
        <v>355</v>
      </c>
      <c r="Q57" s="8"/>
      <c r="R57" s="8"/>
    </row>
    <row r="58" customFormat="false" ht="23.85" hidden="false" customHeight="false" outlineLevel="0" collapsed="false">
      <c r="A58" s="6" t="n">
        <v>1665</v>
      </c>
      <c r="B58" s="4" t="s">
        <v>356</v>
      </c>
      <c r="C58" s="6" t="s">
        <v>357</v>
      </c>
      <c r="D58" s="4" t="s">
        <v>89</v>
      </c>
      <c r="E58" s="4" t="s">
        <v>295</v>
      </c>
      <c r="F58" s="6" t="n">
        <v>2023</v>
      </c>
      <c r="G58" s="6"/>
      <c r="H58" s="4" t="s">
        <v>84</v>
      </c>
      <c r="I58" s="6"/>
      <c r="J58" s="6" t="n">
        <v>1</v>
      </c>
      <c r="K58" s="6" t="n">
        <v>22.1841666667</v>
      </c>
      <c r="L58" s="6" t="n">
        <v>100.0075</v>
      </c>
      <c r="M58" s="6"/>
      <c r="N58" s="6"/>
      <c r="O58" s="7" t="s">
        <v>358</v>
      </c>
      <c r="P58" s="7" t="s">
        <v>359</v>
      </c>
      <c r="Q58" s="8"/>
      <c r="R58" s="8"/>
    </row>
    <row r="59" customFormat="false" ht="15" hidden="false" customHeight="false" outlineLevel="0" collapsed="false">
      <c r="A59" s="6" t="n">
        <v>1638</v>
      </c>
      <c r="B59" s="4" t="s">
        <v>360</v>
      </c>
      <c r="C59" s="6" t="s">
        <v>361</v>
      </c>
      <c r="D59" s="4" t="s">
        <v>123</v>
      </c>
      <c r="E59" s="4" t="s">
        <v>254</v>
      </c>
      <c r="F59" s="6" t="n">
        <v>2024</v>
      </c>
      <c r="G59" s="6"/>
      <c r="H59" s="4" t="s">
        <v>84</v>
      </c>
      <c r="I59" s="6"/>
      <c r="J59" s="6" t="n">
        <v>1</v>
      </c>
      <c r="K59" s="6" t="n">
        <v>39.8897222222</v>
      </c>
      <c r="L59" s="6" t="n">
        <v>102.2894444444</v>
      </c>
      <c r="M59" s="6"/>
      <c r="N59" s="6"/>
      <c r="O59" s="7" t="s">
        <v>362</v>
      </c>
      <c r="P59" s="7" t="s">
        <v>363</v>
      </c>
      <c r="Q59" s="8"/>
      <c r="R59" s="8"/>
    </row>
    <row r="60" customFormat="false" ht="29.85" hidden="false" customHeight="false" outlineLevel="0" collapsed="false">
      <c r="A60" s="6" t="n">
        <v>1714</v>
      </c>
      <c r="B60" s="4" t="s">
        <v>364</v>
      </c>
      <c r="C60" s="6" t="s">
        <v>365</v>
      </c>
      <c r="D60" s="4" t="s">
        <v>89</v>
      </c>
      <c r="E60" s="4" t="s">
        <v>341</v>
      </c>
      <c r="F60" s="6" t="n">
        <v>2024</v>
      </c>
      <c r="G60" s="6"/>
      <c r="H60" s="4" t="s">
        <v>84</v>
      </c>
      <c r="I60" s="6"/>
      <c r="J60" s="6" t="n">
        <v>1</v>
      </c>
      <c r="K60" s="6" t="n">
        <v>39.9072222222</v>
      </c>
      <c r="L60" s="6" t="n">
        <v>116.3913888889</v>
      </c>
      <c r="M60" s="6"/>
      <c r="N60" s="6"/>
      <c r="O60" s="7" t="s">
        <v>366</v>
      </c>
      <c r="P60" s="7" t="s">
        <v>367</v>
      </c>
      <c r="Q60" s="8"/>
      <c r="R60" s="8"/>
    </row>
    <row r="61" customFormat="false" ht="23.85" hidden="false" customHeight="false" outlineLevel="0" collapsed="false">
      <c r="A61" s="6" t="n">
        <v>1736</v>
      </c>
      <c r="B61" s="4" t="s">
        <v>368</v>
      </c>
      <c r="C61" s="6" t="s">
        <v>369</v>
      </c>
      <c r="D61" s="4" t="s">
        <v>89</v>
      </c>
      <c r="E61" s="4" t="s">
        <v>314</v>
      </c>
      <c r="F61" s="6" t="n">
        <v>2025</v>
      </c>
      <c r="G61" s="6"/>
      <c r="H61" s="4" t="s">
        <v>84</v>
      </c>
      <c r="I61" s="6"/>
      <c r="J61" s="6" t="n">
        <v>1</v>
      </c>
      <c r="K61" s="6" t="n">
        <v>38.4158333333</v>
      </c>
      <c r="L61" s="6" t="n">
        <v>105.9711111111</v>
      </c>
      <c r="M61" s="4" t="s">
        <v>102</v>
      </c>
      <c r="N61" s="4" t="s">
        <v>370</v>
      </c>
      <c r="O61" s="7" t="s">
        <v>371</v>
      </c>
      <c r="P61" s="7" t="s">
        <v>372</v>
      </c>
      <c r="Q61" s="8"/>
      <c r="R61" s="8"/>
    </row>
    <row r="62" customFormat="false" ht="35.05" hidden="false" customHeight="false" outlineLevel="0" collapsed="false">
      <c r="A62" s="6" t="n">
        <v>1765</v>
      </c>
      <c r="B62" s="4" t="s">
        <v>373</v>
      </c>
      <c r="C62" s="6" t="s">
        <v>374</v>
      </c>
      <c r="D62" s="4" t="s">
        <v>89</v>
      </c>
      <c r="E62" s="4" t="s">
        <v>157</v>
      </c>
      <c r="F62" s="6" t="n">
        <v>2026</v>
      </c>
      <c r="G62" s="6"/>
      <c r="H62" s="4" t="s">
        <v>84</v>
      </c>
      <c r="I62" s="6"/>
      <c r="J62" s="6" t="n">
        <v>5</v>
      </c>
      <c r="K62" s="6" t="n">
        <v>29.2863888889</v>
      </c>
      <c r="L62" s="6" t="n">
        <v>117.243333333</v>
      </c>
      <c r="M62" s="4" t="s">
        <v>375</v>
      </c>
      <c r="N62" s="4" t="s">
        <v>376</v>
      </c>
      <c r="O62" s="7" t="s">
        <v>377</v>
      </c>
      <c r="P62" s="7" t="s">
        <v>378</v>
      </c>
      <c r="Q62" s="8"/>
      <c r="R62" s="8"/>
    </row>
  </sheetData>
  <autoFilter ref="A1:R62"/>
  <hyperlinks>
    <hyperlink ref="O2" r:id="rId1" display="https://whc.unesco.org/en/list/437/"/>
    <hyperlink ref="P2" r:id="rId2" display="https://whc.unesco.org/en/list/437/documents/"/>
    <hyperlink ref="O3" r:id="rId3" display="https://whc.unesco.org/en/list/438/"/>
    <hyperlink ref="P3" r:id="rId4" display="https://whc.unesco.org/en/list/438/documents/"/>
    <hyperlink ref="O4" r:id="rId5" display="https://whc.unesco.org/en/list/439/"/>
    <hyperlink ref="P4" r:id="rId6" display="https://whc.unesco.org/en/list/439/documents/"/>
    <hyperlink ref="O5" r:id="rId7" display="https://whc.unesco.org/en/list/440/"/>
    <hyperlink ref="P5" r:id="rId8" display="https://whc.unesco.org/en/list/440/documents/"/>
    <hyperlink ref="O6" r:id="rId9" display="https://whc.unesco.org/en/list/441/"/>
    <hyperlink ref="P6" r:id="rId10" display="https://whc.unesco.org/en/list/441/documents/"/>
    <hyperlink ref="O7" r:id="rId11" display="https://whc.unesco.org/en/list/449/"/>
    <hyperlink ref="P7" r:id="rId12" display="https://whc.unesco.org/en/list/449/documents/"/>
    <hyperlink ref="O8" r:id="rId13" display="https://whc.unesco.org/en/list/547/"/>
    <hyperlink ref="P8" r:id="rId14" display="https://whc.unesco.org/en/list/547/documents/"/>
    <hyperlink ref="O9" r:id="rId15" display="https://whc.unesco.org/en/list/637/"/>
    <hyperlink ref="P9" r:id="rId16" display="https://whc.unesco.org/en/list/637/documents/"/>
    <hyperlink ref="O10" r:id="rId17" display="https://whc.unesco.org/en/list/638/"/>
    <hyperlink ref="P10" r:id="rId18" display="https://whc.unesco.org/en/list/638/documents/"/>
    <hyperlink ref="O11" r:id="rId19" display="https://whc.unesco.org/en/list/640/"/>
    <hyperlink ref="P11" r:id="rId20" display="https://whc.unesco.org/en/list/640/documents/"/>
    <hyperlink ref="O12" r:id="rId21" display="https://whc.unesco.org/en/list/703/"/>
    <hyperlink ref="P12" r:id="rId22" display="https://whc.unesco.org/en/list/703/documents/"/>
    <hyperlink ref="O13" r:id="rId23" display="https://whc.unesco.org/en/list/704/"/>
    <hyperlink ref="P13" r:id="rId24" display="https://whc.unesco.org/en/list/704/documents/"/>
    <hyperlink ref="O14" r:id="rId25" display="https://whc.unesco.org/en/list/705/"/>
    <hyperlink ref="P14" r:id="rId26" display="https://whc.unesco.org/en/list/705/documents/"/>
    <hyperlink ref="O15" r:id="rId27" display="https://whc.unesco.org/en/list/707/"/>
    <hyperlink ref="P15" r:id="rId28" display="https://whc.unesco.org/en/list/707/documents/"/>
    <hyperlink ref="O16" r:id="rId29" display="https://whc.unesco.org/en/list/778/"/>
    <hyperlink ref="P16" r:id="rId30" display="https://whc.unesco.org/en/list/778/documents/"/>
    <hyperlink ref="O17" r:id="rId31" display="https://whc.unesco.org/en/list/779/"/>
    <hyperlink ref="P17" r:id="rId32" display="https://whc.unesco.org/en/list/779/documents/"/>
    <hyperlink ref="O18" r:id="rId33" display="https://whc.unesco.org/en/list/811/"/>
    <hyperlink ref="P18" r:id="rId34" display="https://whc.unesco.org/en/list/811/documents/"/>
    <hyperlink ref="O19" r:id="rId35" display="https://whc.unesco.org/en/list/812/"/>
    <hyperlink ref="P19" r:id="rId36" display="https://whc.unesco.org/en/list/812/documents/"/>
    <hyperlink ref="O20" r:id="rId37" display="https://whc.unesco.org/en/list/813/"/>
    <hyperlink ref="P20" r:id="rId38" display="https://whc.unesco.org/en/list/813/documents/"/>
    <hyperlink ref="O21" r:id="rId39" display="https://whc.unesco.org/en/list/880/"/>
    <hyperlink ref="P21" r:id="rId40" display="https://whc.unesco.org/en/list/880/documents/"/>
    <hyperlink ref="O22" r:id="rId41" display="https://whc.unesco.org/en/list/881/"/>
    <hyperlink ref="P22" r:id="rId42" display="https://whc.unesco.org/en/list/881/documents/"/>
    <hyperlink ref="O23" r:id="rId43" display="https://whc.unesco.org/en/list/911/"/>
    <hyperlink ref="P23" r:id="rId44" display="https://whc.unesco.org/en/list/911/documents/"/>
    <hyperlink ref="O24" r:id="rId45" display="https://whc.unesco.org/en/list/912/"/>
    <hyperlink ref="P24" r:id="rId46" display="https://whc.unesco.org/en/list/912/documents/"/>
    <hyperlink ref="O25" r:id="rId47" display="https://whc.unesco.org/en/list/1001/"/>
    <hyperlink ref="P25" r:id="rId48" display="https://whc.unesco.org/en/list/1001/documents/"/>
    <hyperlink ref="O26" r:id="rId49" display="https://whc.unesco.org/en/list/1002/"/>
    <hyperlink ref="P26" r:id="rId50" display="https://whc.unesco.org/en/list/1002/documents/"/>
    <hyperlink ref="O27" r:id="rId51" display="https://whc.unesco.org/en/list/1003/"/>
    <hyperlink ref="P27" r:id="rId52" display="https://whc.unesco.org/en/list/1003/documents/"/>
    <hyperlink ref="O28" r:id="rId53" display="https://whc.unesco.org/en/list/1004/"/>
    <hyperlink ref="P28" r:id="rId54" display="https://whc.unesco.org/en/list/1004/documents/"/>
    <hyperlink ref="O29" r:id="rId55" display="https://whc.unesco.org/en/list/1039/"/>
    <hyperlink ref="P29" r:id="rId56" display="https://whc.unesco.org/en/list/1039/documents/"/>
    <hyperlink ref="O30" r:id="rId57" display="https://whc.unesco.org/en/list/1083/"/>
    <hyperlink ref="P30" r:id="rId58" display="https://whc.unesco.org/en/list/1083/documents/"/>
    <hyperlink ref="O31" r:id="rId59" display="https://whc.unesco.org/en/list/1135/"/>
    <hyperlink ref="P31" r:id="rId60" display="https://whc.unesco.org/en/list/1135/documents/"/>
    <hyperlink ref="O32" r:id="rId61" display="https://whc.unesco.org/en/list/1110/"/>
    <hyperlink ref="P32" r:id="rId62" display="https://whc.unesco.org/en/list/1110/documents/"/>
    <hyperlink ref="O33" r:id="rId63" display="https://whc.unesco.org/en/list/1114/"/>
    <hyperlink ref="P33" r:id="rId64" display="https://whc.unesco.org/en/list/1114/documents/"/>
    <hyperlink ref="O34" r:id="rId65" display="https://whc.unesco.org/en/list/1213/"/>
    <hyperlink ref="P34" r:id="rId66" display="https://whc.unesco.org/en/list/1213/documents/"/>
    <hyperlink ref="O35" r:id="rId67" display="https://whc.unesco.org/en/list/1112/"/>
    <hyperlink ref="P35" r:id="rId68" display="https://whc.unesco.org/en/list/1112/documents/"/>
    <hyperlink ref="O36" r:id="rId69" display="https://whc.unesco.org/en/list/1248/"/>
    <hyperlink ref="P36" r:id="rId70" display="https://whc.unesco.org/en/list/1248/documents/"/>
    <hyperlink ref="O37" r:id="rId71" display="https://whc.unesco.org/en/list/1113/"/>
    <hyperlink ref="P37" r:id="rId72" display="https://whc.unesco.org/en/list/1113/documents/"/>
    <hyperlink ref="O38" r:id="rId73" display="https://whc.unesco.org/en/list/1292/"/>
    <hyperlink ref="P38" r:id="rId74" display="https://whc.unesco.org/en/list/1292/documents/"/>
    <hyperlink ref="O39" r:id="rId75" display="https://whc.unesco.org/en/list/1279/"/>
    <hyperlink ref="P39" r:id="rId76" display="https://whc.unesco.org/en/list/1279/documents/"/>
    <hyperlink ref="O40" r:id="rId77" display="https://whc.unesco.org/en/list/1305/"/>
    <hyperlink ref="P40" r:id="rId78" display="https://whc.unesco.org/en/list/1305/documents/"/>
    <hyperlink ref="O41" r:id="rId79" display="https://whc.unesco.org/en/list/1335/"/>
    <hyperlink ref="P41" r:id="rId80" display="https://whc.unesco.org/en/list/1335/documents/"/>
    <hyperlink ref="O42" r:id="rId81" display="https://whc.unesco.org/en/list/1334/"/>
    <hyperlink ref="P42" r:id="rId82" display="https://whc.unesco.org/en/list/1334/documents/"/>
    <hyperlink ref="O43" r:id="rId83" display="https://whc.unesco.org/en/list/1388/"/>
    <hyperlink ref="P43" r:id="rId84" display="https://whc.unesco.org/en/list/1388/documents/"/>
    <hyperlink ref="O44" r:id="rId85" display="https://whc.unesco.org/en/list/1389/"/>
    <hyperlink ref="P44" r:id="rId86" display="https://whc.unesco.org/en/list/1389/documents/"/>
    <hyperlink ref="O45" r:id="rId87" display="https://whc.unesco.org/en/list/1111/"/>
    <hyperlink ref="P45" r:id="rId88" display="https://whc.unesco.org/en/list/1111/documents/"/>
    <hyperlink ref="O46" r:id="rId89" display="https://whc.unesco.org/en/list/1414/"/>
    <hyperlink ref="P46" r:id="rId90" display="https://whc.unesco.org/en/list/1414/documents/"/>
    <hyperlink ref="O47" r:id="rId91" display="https://whc.unesco.org/en/list/1442/"/>
    <hyperlink ref="P47" r:id="rId92" display="https://whc.unesco.org/en/list/1442/documents/"/>
    <hyperlink ref="O48" r:id="rId93" display="https://whc.unesco.org/en/list/1443/"/>
    <hyperlink ref="P48" r:id="rId94" display="https://whc.unesco.org/en/list/1443/documents/"/>
    <hyperlink ref="O49" r:id="rId95" display="https://whc.unesco.org/en/list/1474/"/>
    <hyperlink ref="P49" r:id="rId96" display="https://whc.unesco.org/en/list/1474/documents/"/>
    <hyperlink ref="O50" r:id="rId97" display="https://whc.unesco.org/en/list/1508/"/>
    <hyperlink ref="P50" r:id="rId98" display="https://whc.unesco.org/en/list/1508/documents/"/>
    <hyperlink ref="O51" r:id="rId99" display="https://whc.unesco.org/en/list/1509/"/>
    <hyperlink ref="P51" r:id="rId100" display="https://whc.unesco.org/en/list/1509/documents/"/>
    <hyperlink ref="O52" r:id="rId101" display="https://whc.unesco.org/en/list/1540/"/>
    <hyperlink ref="P52" r:id="rId102" display="https://whc.unesco.org/en/list/1540/documents/"/>
    <hyperlink ref="O53" r:id="rId103" display="https://whc.unesco.org/en/list/1541/"/>
    <hyperlink ref="P53" r:id="rId104" display="https://whc.unesco.org/en/list/1541/documents/"/>
    <hyperlink ref="O54" r:id="rId105" display="https://whc.unesco.org/en/list/1559/"/>
    <hyperlink ref="P54" r:id="rId106" display="https://whc.unesco.org/en/list/1559/documents/"/>
    <hyperlink ref="O55" r:id="rId107" display="https://whc.unesco.org/en/list/1592/"/>
    <hyperlink ref="P55" r:id="rId108" display="https://whc.unesco.org/en/list/1592/documents/"/>
    <hyperlink ref="O56" r:id="rId109" display="https://whc.unesco.org/en/list/1606/"/>
    <hyperlink ref="P56" r:id="rId110" display="https://whc.unesco.org/en/list/1606/documents/"/>
    <hyperlink ref="O57" r:id="rId111" display="https://whc.unesco.org/en/list/1561/"/>
    <hyperlink ref="P57" r:id="rId112" display="https://whc.unesco.org/en/list/1561/documents/"/>
    <hyperlink ref="O58" r:id="rId113" display="https://whc.unesco.org/en/list/1665/"/>
    <hyperlink ref="P58" r:id="rId114" display="https://whc.unesco.org/en/list/1665/documents/"/>
    <hyperlink ref="O59" r:id="rId115" display="https://whc.unesco.org/en/list/1638/"/>
    <hyperlink ref="P59" r:id="rId116" display="https://whc.unesco.org/en/list/1638/documents/"/>
    <hyperlink ref="O60" r:id="rId117" display="https://whc.unesco.org/en/list/1714/"/>
    <hyperlink ref="P60" r:id="rId118" display="https://whc.unesco.org/en/list/1714/documents/"/>
    <hyperlink ref="O61" r:id="rId119" display="https://whc.unesco.org/en/list/1736/"/>
    <hyperlink ref="P61" r:id="rId120" display="https://whc.unesco.org/en/list/1736/documents/"/>
    <hyperlink ref="O62" r:id="rId121" display="https://whc.unesco.org/en/list/1765/"/>
    <hyperlink ref="P62" r:id="rId122" display="https://whc.unesco.org/en/list/1765/docum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0"/>
    <col collapsed="false" customWidth="true" hidden="false" outlineLevel="0" max="4" min="4" style="0" width="20"/>
    <col collapsed="false" customWidth="true" hidden="false" outlineLevel="0" max="5" min="5" style="0" width="60"/>
    <col collapsed="false" customWidth="true" hidden="false" outlineLevel="0" max="6" min="6" style="0" width="36"/>
    <col collapsed="false" customWidth="true" hidden="false" outlineLevel="0" max="7" min="7" style="0" width="26"/>
    <col collapsed="false" customWidth="true" hidden="false" outlineLevel="0" max="8" min="8" style="0" width="14"/>
  </cols>
  <sheetData>
    <row r="1" customFormat="false" ht="31.5" hidden="false" customHeight="true" outlineLevel="0" collapsed="false">
      <c r="A1" s="5" t="s">
        <v>379</v>
      </c>
      <c r="B1" s="5" t="s">
        <v>380</v>
      </c>
      <c r="C1" s="5" t="s">
        <v>381</v>
      </c>
      <c r="D1" s="5" t="s">
        <v>382</v>
      </c>
      <c r="E1" s="5" t="s">
        <v>383</v>
      </c>
      <c r="F1" s="5" t="s">
        <v>384</v>
      </c>
      <c r="G1" s="5" t="s">
        <v>78</v>
      </c>
      <c r="H1" s="5" t="s">
        <v>79</v>
      </c>
    </row>
    <row r="2" customFormat="false" ht="15" hidden="false" customHeight="false" outlineLevel="0" collapsed="false">
      <c r="A2" s="6" t="n">
        <v>105</v>
      </c>
      <c r="B2" s="4" t="s">
        <v>385</v>
      </c>
      <c r="C2" s="6" t="n">
        <v>1996</v>
      </c>
      <c r="D2" s="6"/>
      <c r="E2" s="6"/>
      <c r="F2" s="7" t="s">
        <v>386</v>
      </c>
      <c r="G2" s="8"/>
      <c r="H2" s="8"/>
    </row>
    <row r="3" customFormat="false" ht="15" hidden="false" customHeight="false" outlineLevel="0" collapsed="false">
      <c r="A3" s="6" t="n">
        <v>106</v>
      </c>
      <c r="B3" s="4" t="s">
        <v>387</v>
      </c>
      <c r="C3" s="6" t="n">
        <v>1996</v>
      </c>
      <c r="D3" s="6"/>
      <c r="E3" s="6"/>
      <c r="F3" s="7" t="s">
        <v>388</v>
      </c>
      <c r="G3" s="8"/>
      <c r="H3" s="8"/>
    </row>
    <row r="4" customFormat="false" ht="15" hidden="false" customHeight="false" outlineLevel="0" collapsed="false">
      <c r="A4" s="6" t="n">
        <v>107</v>
      </c>
      <c r="B4" s="4" t="s">
        <v>389</v>
      </c>
      <c r="C4" s="6" t="n">
        <v>1996</v>
      </c>
      <c r="D4" s="6"/>
      <c r="E4" s="6"/>
      <c r="F4" s="7" t="s">
        <v>390</v>
      </c>
      <c r="G4" s="8"/>
      <c r="H4" s="8"/>
    </row>
    <row r="5" customFormat="false" ht="15" hidden="false" customHeight="false" outlineLevel="0" collapsed="false">
      <c r="A5" s="6" t="n">
        <v>108</v>
      </c>
      <c r="B5" s="4" t="s">
        <v>391</v>
      </c>
      <c r="C5" s="6" t="n">
        <v>1996</v>
      </c>
      <c r="D5" s="6"/>
      <c r="E5" s="6"/>
      <c r="F5" s="7" t="s">
        <v>392</v>
      </c>
      <c r="G5" s="8"/>
      <c r="H5" s="8"/>
    </row>
    <row r="6" customFormat="false" ht="15" hidden="false" customHeight="false" outlineLevel="0" collapsed="false">
      <c r="A6" s="6" t="n">
        <v>1622</v>
      </c>
      <c r="B6" s="4" t="s">
        <v>393</v>
      </c>
      <c r="C6" s="6" t="n">
        <v>2001</v>
      </c>
      <c r="D6" s="6"/>
      <c r="E6" s="6"/>
      <c r="F6" s="7" t="s">
        <v>394</v>
      </c>
      <c r="G6" s="8"/>
      <c r="H6" s="8"/>
    </row>
    <row r="7" customFormat="false" ht="15" hidden="false" customHeight="false" outlineLevel="0" collapsed="false">
      <c r="A7" s="6" t="n">
        <v>1623</v>
      </c>
      <c r="B7" s="4" t="s">
        <v>395</v>
      </c>
      <c r="C7" s="6" t="n">
        <v>2001</v>
      </c>
      <c r="D7" s="6"/>
      <c r="E7" s="6"/>
      <c r="F7" s="7" t="s">
        <v>396</v>
      </c>
      <c r="G7" s="8"/>
      <c r="H7" s="8"/>
    </row>
    <row r="8" customFormat="false" ht="15" hidden="false" customHeight="false" outlineLevel="0" collapsed="false">
      <c r="A8" s="6" t="n">
        <v>1624</v>
      </c>
      <c r="B8" s="4" t="s">
        <v>397</v>
      </c>
      <c r="C8" s="6" t="n">
        <v>2001</v>
      </c>
      <c r="D8" s="6"/>
      <c r="E8" s="6"/>
      <c r="F8" s="7" t="s">
        <v>398</v>
      </c>
      <c r="G8" s="8"/>
      <c r="H8" s="8"/>
    </row>
    <row r="9" customFormat="false" ht="15" hidden="false" customHeight="false" outlineLevel="0" collapsed="false">
      <c r="A9" s="6" t="n">
        <v>1625</v>
      </c>
      <c r="B9" s="4" t="s">
        <v>399</v>
      </c>
      <c r="C9" s="6" t="n">
        <v>2001</v>
      </c>
      <c r="D9" s="6"/>
      <c r="E9" s="6"/>
      <c r="F9" s="7" t="s">
        <v>400</v>
      </c>
      <c r="G9" s="8"/>
      <c r="H9" s="8"/>
    </row>
    <row r="10" customFormat="false" ht="15" hidden="false" customHeight="false" outlineLevel="0" collapsed="false">
      <c r="A10" s="6" t="n">
        <v>1626</v>
      </c>
      <c r="B10" s="4" t="s">
        <v>401</v>
      </c>
      <c r="C10" s="6" t="n">
        <v>2001</v>
      </c>
      <c r="D10" s="6"/>
      <c r="E10" s="6"/>
      <c r="F10" s="7" t="s">
        <v>402</v>
      </c>
      <c r="G10" s="8"/>
      <c r="H10" s="8"/>
    </row>
    <row r="11" customFormat="false" ht="15" hidden="false" customHeight="false" outlineLevel="0" collapsed="false">
      <c r="A11" s="6" t="n">
        <v>1627</v>
      </c>
      <c r="B11" s="4" t="s">
        <v>403</v>
      </c>
      <c r="C11" s="6" t="n">
        <v>2001</v>
      </c>
      <c r="D11" s="6"/>
      <c r="E11" s="6"/>
      <c r="F11" s="7" t="s">
        <v>404</v>
      </c>
      <c r="G11" s="8"/>
      <c r="H11" s="8"/>
    </row>
    <row r="12" customFormat="false" ht="15" hidden="false" customHeight="false" outlineLevel="0" collapsed="false">
      <c r="A12" s="6" t="n">
        <v>1629</v>
      </c>
      <c r="B12" s="4" t="s">
        <v>405</v>
      </c>
      <c r="C12" s="6" t="n">
        <v>2001</v>
      </c>
      <c r="D12" s="6"/>
      <c r="E12" s="6"/>
      <c r="F12" s="7" t="s">
        <v>406</v>
      </c>
      <c r="G12" s="8"/>
      <c r="H12" s="8"/>
    </row>
    <row r="13" customFormat="false" ht="15" hidden="false" customHeight="false" outlineLevel="0" collapsed="false">
      <c r="A13" s="6" t="n">
        <v>1631</v>
      </c>
      <c r="B13" s="4" t="s">
        <v>407</v>
      </c>
      <c r="C13" s="6" t="n">
        <v>2001</v>
      </c>
      <c r="D13" s="6"/>
      <c r="E13" s="6"/>
      <c r="F13" s="7" t="s">
        <v>408</v>
      </c>
      <c r="G13" s="8"/>
      <c r="H13" s="8"/>
    </row>
    <row r="14" customFormat="false" ht="15" hidden="false" customHeight="false" outlineLevel="0" collapsed="false">
      <c r="A14" s="6" t="n">
        <v>1632</v>
      </c>
      <c r="B14" s="4" t="s">
        <v>409</v>
      </c>
      <c r="C14" s="6" t="n">
        <v>2001</v>
      </c>
      <c r="D14" s="6"/>
      <c r="E14" s="6"/>
      <c r="F14" s="7" t="s">
        <v>410</v>
      </c>
      <c r="G14" s="8"/>
      <c r="H14" s="8"/>
    </row>
    <row r="15" customFormat="false" ht="15" hidden="false" customHeight="false" outlineLevel="0" collapsed="false">
      <c r="A15" s="6" t="n">
        <v>1633</v>
      </c>
      <c r="B15" s="4" t="s">
        <v>411</v>
      </c>
      <c r="C15" s="6" t="n">
        <v>2001</v>
      </c>
      <c r="D15" s="6"/>
      <c r="E15" s="6"/>
      <c r="F15" s="7" t="s">
        <v>412</v>
      </c>
      <c r="G15" s="8"/>
      <c r="H15" s="8"/>
    </row>
    <row r="16" customFormat="false" ht="15" hidden="false" customHeight="false" outlineLevel="0" collapsed="false">
      <c r="A16" s="6" t="n">
        <v>1634</v>
      </c>
      <c r="B16" s="4" t="s">
        <v>413</v>
      </c>
      <c r="C16" s="6" t="n">
        <v>2001</v>
      </c>
      <c r="D16" s="6"/>
      <c r="E16" s="6"/>
      <c r="F16" s="7" t="s">
        <v>414</v>
      </c>
      <c r="G16" s="8"/>
      <c r="H16" s="8"/>
    </row>
    <row r="17" customFormat="false" ht="15" hidden="false" customHeight="false" outlineLevel="0" collapsed="false">
      <c r="A17" s="6" t="n">
        <v>5320</v>
      </c>
      <c r="B17" s="4" t="s">
        <v>415</v>
      </c>
      <c r="C17" s="6" t="n">
        <v>2008</v>
      </c>
      <c r="D17" s="6"/>
      <c r="E17" s="6"/>
      <c r="F17" s="7" t="s">
        <v>416</v>
      </c>
      <c r="G17" s="8"/>
      <c r="H17" s="8"/>
    </row>
    <row r="18" customFormat="false" ht="15" hidden="false" customHeight="false" outlineLevel="0" collapsed="false">
      <c r="A18" s="6" t="n">
        <v>5322</v>
      </c>
      <c r="B18" s="4" t="s">
        <v>417</v>
      </c>
      <c r="C18" s="6" t="n">
        <v>2008</v>
      </c>
      <c r="D18" s="6"/>
      <c r="E18" s="6"/>
      <c r="F18" s="7" t="s">
        <v>418</v>
      </c>
      <c r="G18" s="8"/>
      <c r="H18" s="8"/>
    </row>
    <row r="19" customFormat="false" ht="15" hidden="false" customHeight="false" outlineLevel="0" collapsed="false">
      <c r="A19" s="6" t="n">
        <v>5324</v>
      </c>
      <c r="B19" s="4" t="s">
        <v>419</v>
      </c>
      <c r="C19" s="6" t="n">
        <v>2008</v>
      </c>
      <c r="D19" s="6"/>
      <c r="E19" s="6"/>
      <c r="F19" s="7" t="s">
        <v>420</v>
      </c>
      <c r="G19" s="8"/>
      <c r="H19" s="8"/>
    </row>
    <row r="20" customFormat="false" ht="15" hidden="false" customHeight="false" outlineLevel="0" collapsed="false">
      <c r="A20" s="6" t="n">
        <v>5327</v>
      </c>
      <c r="B20" s="4" t="s">
        <v>421</v>
      </c>
      <c r="C20" s="6" t="n">
        <v>2008</v>
      </c>
      <c r="D20" s="6"/>
      <c r="E20" s="6"/>
      <c r="F20" s="7" t="s">
        <v>422</v>
      </c>
      <c r="G20" s="8"/>
      <c r="H20" s="8"/>
    </row>
    <row r="21" customFormat="false" ht="15" hidden="false" customHeight="false" outlineLevel="0" collapsed="false">
      <c r="A21" s="6" t="n">
        <v>5328</v>
      </c>
      <c r="B21" s="4" t="s">
        <v>423</v>
      </c>
      <c r="C21" s="6" t="n">
        <v>2008</v>
      </c>
      <c r="D21" s="6"/>
      <c r="E21" s="6"/>
      <c r="F21" s="7" t="s">
        <v>424</v>
      </c>
      <c r="G21" s="8"/>
      <c r="H21" s="8"/>
    </row>
    <row r="22" customFormat="false" ht="57.45" hidden="false" customHeight="false" outlineLevel="0" collapsed="false">
      <c r="A22" s="6" t="n">
        <v>5335</v>
      </c>
      <c r="B22" s="4" t="s">
        <v>425</v>
      </c>
      <c r="C22" s="6" t="n">
        <v>2008</v>
      </c>
      <c r="D22" s="4" t="s">
        <v>426</v>
      </c>
      <c r="E22" s="4" t="s">
        <v>427</v>
      </c>
      <c r="F22" s="7" t="s">
        <v>428</v>
      </c>
      <c r="G22" s="8"/>
      <c r="H22" s="8"/>
    </row>
    <row r="23" customFormat="false" ht="15" hidden="false" customHeight="false" outlineLevel="0" collapsed="false">
      <c r="A23" s="6" t="n">
        <v>5337</v>
      </c>
      <c r="B23" s="4" t="s">
        <v>429</v>
      </c>
      <c r="C23" s="6" t="n">
        <v>2008</v>
      </c>
      <c r="D23" s="6"/>
      <c r="E23" s="6"/>
      <c r="F23" s="7" t="s">
        <v>430</v>
      </c>
      <c r="G23" s="8"/>
      <c r="H23" s="8"/>
    </row>
    <row r="24" customFormat="false" ht="15" hidden="false" customHeight="false" outlineLevel="0" collapsed="false">
      <c r="A24" s="6" t="n">
        <v>5338</v>
      </c>
      <c r="B24" s="4" t="s">
        <v>431</v>
      </c>
      <c r="C24" s="6" t="n">
        <v>2008</v>
      </c>
      <c r="D24" s="6"/>
      <c r="E24" s="6"/>
      <c r="F24" s="7" t="s">
        <v>432</v>
      </c>
      <c r="G24" s="8"/>
      <c r="H24" s="8"/>
    </row>
    <row r="25" customFormat="false" ht="15" hidden="false" customHeight="false" outlineLevel="0" collapsed="false">
      <c r="A25" s="6" t="n">
        <v>5341</v>
      </c>
      <c r="B25" s="4" t="s">
        <v>433</v>
      </c>
      <c r="C25" s="6" t="n">
        <v>2008</v>
      </c>
      <c r="D25" s="6"/>
      <c r="E25" s="6"/>
      <c r="F25" s="7" t="s">
        <v>434</v>
      </c>
      <c r="G25" s="8"/>
      <c r="H25" s="8"/>
    </row>
    <row r="26" customFormat="false" ht="23.85" hidden="false" customHeight="false" outlineLevel="0" collapsed="false">
      <c r="A26" s="6" t="n">
        <v>5344</v>
      </c>
      <c r="B26" s="4" t="s">
        <v>435</v>
      </c>
      <c r="C26" s="6" t="n">
        <v>2008</v>
      </c>
      <c r="D26" s="6"/>
      <c r="E26" s="6"/>
      <c r="F26" s="7" t="s">
        <v>436</v>
      </c>
      <c r="G26" s="8"/>
      <c r="H26" s="8"/>
    </row>
    <row r="27" customFormat="false" ht="15" hidden="false" customHeight="false" outlineLevel="0" collapsed="false">
      <c r="A27" s="6" t="n">
        <v>5347</v>
      </c>
      <c r="B27" s="4" t="s">
        <v>437</v>
      </c>
      <c r="C27" s="6" t="n">
        <v>2008</v>
      </c>
      <c r="D27" s="6"/>
      <c r="E27" s="6"/>
      <c r="F27" s="7" t="s">
        <v>438</v>
      </c>
      <c r="G27" s="8"/>
      <c r="H27" s="8"/>
    </row>
    <row r="28" customFormat="false" ht="23.85" hidden="false" customHeight="false" outlineLevel="0" collapsed="false">
      <c r="A28" s="6" t="n">
        <v>5351</v>
      </c>
      <c r="B28" s="4" t="s">
        <v>439</v>
      </c>
      <c r="C28" s="6" t="n">
        <v>2008</v>
      </c>
      <c r="D28" s="6"/>
      <c r="E28" s="6"/>
      <c r="F28" s="7" t="s">
        <v>440</v>
      </c>
      <c r="G28" s="8"/>
      <c r="H28" s="8"/>
    </row>
    <row r="29" customFormat="false" ht="15" hidden="false" customHeight="false" outlineLevel="0" collapsed="false">
      <c r="A29" s="6" t="n">
        <v>5353</v>
      </c>
      <c r="B29" s="4" t="s">
        <v>441</v>
      </c>
      <c r="C29" s="6" t="n">
        <v>2008</v>
      </c>
      <c r="D29" s="6"/>
      <c r="E29" s="6"/>
      <c r="F29" s="7" t="s">
        <v>442</v>
      </c>
      <c r="G29" s="8"/>
      <c r="H29" s="8"/>
    </row>
    <row r="30" customFormat="false" ht="15" hidden="false" customHeight="false" outlineLevel="0" collapsed="false">
      <c r="A30" s="6" t="n">
        <v>5532</v>
      </c>
      <c r="B30" s="4" t="s">
        <v>443</v>
      </c>
      <c r="C30" s="6" t="n">
        <v>2010</v>
      </c>
      <c r="D30" s="6"/>
      <c r="E30" s="6"/>
      <c r="F30" s="7" t="s">
        <v>444</v>
      </c>
      <c r="G30" s="8"/>
      <c r="H30" s="8"/>
    </row>
    <row r="31" customFormat="false" ht="15" hidden="false" customHeight="false" outlineLevel="0" collapsed="false">
      <c r="A31" s="6" t="n">
        <v>5533</v>
      </c>
      <c r="B31" s="4" t="s">
        <v>445</v>
      </c>
      <c r="C31" s="6" t="n">
        <v>2010</v>
      </c>
      <c r="D31" s="6"/>
      <c r="E31" s="6"/>
      <c r="F31" s="7" t="s">
        <v>446</v>
      </c>
      <c r="G31" s="8"/>
      <c r="H31" s="8"/>
    </row>
    <row r="32" customFormat="false" ht="15" hidden="false" customHeight="false" outlineLevel="0" collapsed="false">
      <c r="A32" s="6" t="n">
        <v>5535</v>
      </c>
      <c r="B32" s="4" t="s">
        <v>447</v>
      </c>
      <c r="C32" s="6" t="n">
        <v>2010</v>
      </c>
      <c r="D32" s="6"/>
      <c r="E32" s="6"/>
      <c r="F32" s="7" t="s">
        <v>448</v>
      </c>
      <c r="G32" s="8"/>
      <c r="H32" s="8"/>
    </row>
    <row r="33" customFormat="false" ht="23.85" hidden="false" customHeight="false" outlineLevel="0" collapsed="false">
      <c r="A33" s="6" t="n">
        <v>5803</v>
      </c>
      <c r="B33" s="4" t="s">
        <v>449</v>
      </c>
      <c r="C33" s="6" t="n">
        <v>2013</v>
      </c>
      <c r="D33" s="6"/>
      <c r="E33" s="6"/>
      <c r="F33" s="7" t="s">
        <v>450</v>
      </c>
      <c r="G33" s="8"/>
      <c r="H33" s="8"/>
    </row>
    <row r="34" customFormat="false" ht="23.85" hidden="false" customHeight="false" outlineLevel="0" collapsed="false">
      <c r="A34" s="6" t="n">
        <v>5804</v>
      </c>
      <c r="B34" s="4" t="s">
        <v>451</v>
      </c>
      <c r="C34" s="6" t="n">
        <v>2013</v>
      </c>
      <c r="D34" s="6"/>
      <c r="E34" s="6"/>
      <c r="F34" s="7" t="s">
        <v>452</v>
      </c>
      <c r="G34" s="8"/>
      <c r="H34" s="8"/>
    </row>
    <row r="35" customFormat="false" ht="15" hidden="false" customHeight="false" outlineLevel="0" collapsed="false">
      <c r="A35" s="6" t="n">
        <v>5806</v>
      </c>
      <c r="B35" s="4" t="s">
        <v>453</v>
      </c>
      <c r="C35" s="6" t="n">
        <v>2013</v>
      </c>
      <c r="D35" s="6"/>
      <c r="E35" s="6"/>
      <c r="F35" s="7" t="s">
        <v>454</v>
      </c>
      <c r="G35" s="8"/>
      <c r="H35" s="8"/>
    </row>
    <row r="36" customFormat="false" ht="15" hidden="false" customHeight="false" outlineLevel="0" collapsed="false">
      <c r="A36" s="6" t="n">
        <v>5808</v>
      </c>
      <c r="B36" s="4" t="s">
        <v>455</v>
      </c>
      <c r="C36" s="6" t="n">
        <v>2013</v>
      </c>
      <c r="D36" s="6"/>
      <c r="E36" s="6"/>
      <c r="F36" s="7" t="s">
        <v>456</v>
      </c>
      <c r="G36" s="8"/>
      <c r="H36" s="8"/>
    </row>
    <row r="37" customFormat="false" ht="15" hidden="false" customHeight="false" outlineLevel="0" collapsed="false">
      <c r="A37" s="6" t="n">
        <v>5813</v>
      </c>
      <c r="B37" s="4" t="s">
        <v>457</v>
      </c>
      <c r="C37" s="6" t="n">
        <v>2013</v>
      </c>
      <c r="D37" s="6"/>
      <c r="E37" s="6"/>
      <c r="F37" s="7" t="s">
        <v>458</v>
      </c>
      <c r="G37" s="8"/>
      <c r="H37" s="8"/>
    </row>
    <row r="38" customFormat="false" ht="15" hidden="false" customHeight="false" outlineLevel="0" collapsed="false">
      <c r="A38" s="6" t="n">
        <v>5814</v>
      </c>
      <c r="B38" s="4" t="s">
        <v>459</v>
      </c>
      <c r="C38" s="6" t="n">
        <v>2013</v>
      </c>
      <c r="D38" s="6"/>
      <c r="E38" s="6"/>
      <c r="F38" s="7" t="s">
        <v>460</v>
      </c>
      <c r="G38" s="8"/>
      <c r="H38" s="8"/>
    </row>
    <row r="39" customFormat="false" ht="15" hidden="false" customHeight="false" outlineLevel="0" collapsed="false">
      <c r="A39" s="6" t="n">
        <v>5815</v>
      </c>
      <c r="B39" s="4" t="s">
        <v>461</v>
      </c>
      <c r="C39" s="6" t="n">
        <v>2013</v>
      </c>
      <c r="D39" s="6"/>
      <c r="E39" s="6"/>
      <c r="F39" s="7" t="s">
        <v>462</v>
      </c>
      <c r="G39" s="8"/>
      <c r="H39" s="8"/>
    </row>
    <row r="40" customFormat="false" ht="35.05" hidden="false" customHeight="false" outlineLevel="0" collapsed="false">
      <c r="A40" s="6" t="n">
        <v>5816</v>
      </c>
      <c r="B40" s="4" t="s">
        <v>463</v>
      </c>
      <c r="C40" s="6" t="n">
        <v>2013</v>
      </c>
      <c r="D40" s="6"/>
      <c r="E40" s="6"/>
      <c r="F40" s="7" t="s">
        <v>464</v>
      </c>
      <c r="G40" s="8"/>
      <c r="H40" s="8"/>
    </row>
    <row r="41" customFormat="false" ht="15" hidden="false" customHeight="false" outlineLevel="0" collapsed="false">
      <c r="A41" s="6" t="n">
        <v>5989</v>
      </c>
      <c r="B41" s="4" t="s">
        <v>465</v>
      </c>
      <c r="C41" s="6" t="n">
        <v>2015</v>
      </c>
      <c r="D41" s="6"/>
      <c r="E41" s="6"/>
      <c r="F41" s="7" t="s">
        <v>466</v>
      </c>
      <c r="G41" s="8"/>
      <c r="H41" s="8"/>
    </row>
    <row r="42" customFormat="false" ht="15" hidden="false" customHeight="false" outlineLevel="0" collapsed="false">
      <c r="A42" s="6" t="n">
        <v>5990</v>
      </c>
      <c r="B42" s="4" t="s">
        <v>467</v>
      </c>
      <c r="C42" s="6" t="n">
        <v>2015</v>
      </c>
      <c r="D42" s="6"/>
      <c r="E42" s="6"/>
      <c r="F42" s="7" t="s">
        <v>468</v>
      </c>
      <c r="G42" s="8"/>
      <c r="H42" s="8"/>
    </row>
    <row r="43" customFormat="false" ht="15" hidden="false" customHeight="false" outlineLevel="0" collapsed="false">
      <c r="A43" s="6" t="n">
        <v>5992</v>
      </c>
      <c r="B43" s="4" t="s">
        <v>469</v>
      </c>
      <c r="C43" s="6" t="n">
        <v>2015</v>
      </c>
      <c r="D43" s="6"/>
      <c r="E43" s="6"/>
      <c r="F43" s="7" t="s">
        <v>470</v>
      </c>
      <c r="G43" s="8"/>
      <c r="H43" s="8"/>
    </row>
    <row r="44" customFormat="false" ht="15" hidden="false" customHeight="false" outlineLevel="0" collapsed="false">
      <c r="A44" s="6" t="n">
        <v>5993</v>
      </c>
      <c r="B44" s="4" t="s">
        <v>471</v>
      </c>
      <c r="C44" s="6" t="n">
        <v>2015</v>
      </c>
      <c r="D44" s="6"/>
      <c r="E44" s="6"/>
      <c r="F44" s="7" t="s">
        <v>472</v>
      </c>
      <c r="G44" s="8"/>
      <c r="H44" s="8"/>
    </row>
    <row r="45" customFormat="false" ht="15" hidden="false" customHeight="false" outlineLevel="0" collapsed="false">
      <c r="A45" s="6" t="n">
        <v>5994</v>
      </c>
      <c r="B45" s="4" t="s">
        <v>473</v>
      </c>
      <c r="C45" s="6" t="n">
        <v>2015</v>
      </c>
      <c r="D45" s="6"/>
      <c r="E45" s="6"/>
      <c r="F45" s="7" t="s">
        <v>474</v>
      </c>
      <c r="G45" s="8"/>
      <c r="H45" s="8"/>
    </row>
    <row r="46" customFormat="false" ht="15" hidden="false" customHeight="false" outlineLevel="0" collapsed="false">
      <c r="A46" s="6" t="n">
        <v>5995</v>
      </c>
      <c r="B46" s="4" t="s">
        <v>475</v>
      </c>
      <c r="C46" s="6" t="n">
        <v>2015</v>
      </c>
      <c r="D46" s="6"/>
      <c r="E46" s="6"/>
      <c r="F46" s="7" t="s">
        <v>476</v>
      </c>
      <c r="G46" s="8"/>
      <c r="H46" s="8"/>
    </row>
    <row r="47" customFormat="false" ht="46.25" hidden="false" customHeight="false" outlineLevel="0" collapsed="false">
      <c r="A47" s="6" t="n">
        <v>6093</v>
      </c>
      <c r="B47" s="4" t="s">
        <v>477</v>
      </c>
      <c r="C47" s="6" t="n">
        <v>2016</v>
      </c>
      <c r="D47" s="4" t="s">
        <v>426</v>
      </c>
      <c r="E47" s="4" t="s">
        <v>478</v>
      </c>
      <c r="F47" s="7" t="s">
        <v>479</v>
      </c>
      <c r="G47" s="8"/>
      <c r="H47" s="8"/>
    </row>
    <row r="48" customFormat="false" ht="15" hidden="false" customHeight="false" outlineLevel="0" collapsed="false">
      <c r="A48" s="6" t="n">
        <v>6184</v>
      </c>
      <c r="B48" s="4" t="s">
        <v>480</v>
      </c>
      <c r="C48" s="6" t="n">
        <v>2017</v>
      </c>
      <c r="D48" s="6"/>
      <c r="E48" s="6"/>
      <c r="F48" s="7" t="s">
        <v>481</v>
      </c>
      <c r="G48" s="8"/>
      <c r="H48" s="8"/>
    </row>
    <row r="49" customFormat="false" ht="15" hidden="false" customHeight="false" outlineLevel="0" collapsed="false">
      <c r="A49" s="6" t="n">
        <v>6185</v>
      </c>
      <c r="B49" s="4" t="s">
        <v>482</v>
      </c>
      <c r="C49" s="6" t="n">
        <v>2017</v>
      </c>
      <c r="D49" s="6"/>
      <c r="E49" s="6"/>
      <c r="F49" s="7" t="s">
        <v>483</v>
      </c>
      <c r="G49" s="8"/>
      <c r="H49" s="8"/>
    </row>
    <row r="50" customFormat="false" ht="15" hidden="false" customHeight="false" outlineLevel="0" collapsed="false">
      <c r="A50" s="6" t="n">
        <v>6186</v>
      </c>
      <c r="B50" s="4" t="s">
        <v>484</v>
      </c>
      <c r="C50" s="6" t="n">
        <v>2017</v>
      </c>
      <c r="D50" s="6"/>
      <c r="E50" s="6"/>
      <c r="F50" s="7" t="s">
        <v>485</v>
      </c>
      <c r="G50" s="8"/>
      <c r="H50" s="8"/>
    </row>
    <row r="51" customFormat="false" ht="15" hidden="false" customHeight="false" outlineLevel="0" collapsed="false">
      <c r="A51" s="6" t="n">
        <v>6187</v>
      </c>
      <c r="B51" s="4" t="s">
        <v>486</v>
      </c>
      <c r="C51" s="6" t="n">
        <v>2017</v>
      </c>
      <c r="D51" s="6"/>
      <c r="E51" s="6"/>
      <c r="F51" s="7" t="s">
        <v>487</v>
      </c>
      <c r="G51" s="8"/>
      <c r="H51" s="8"/>
    </row>
    <row r="52" customFormat="false" ht="15" hidden="false" customHeight="false" outlineLevel="0" collapsed="false">
      <c r="A52" s="6" t="n">
        <v>6188</v>
      </c>
      <c r="B52" s="4" t="s">
        <v>488</v>
      </c>
      <c r="C52" s="6" t="n">
        <v>2017</v>
      </c>
      <c r="D52" s="6"/>
      <c r="E52" s="6"/>
      <c r="F52" s="7" t="s">
        <v>489</v>
      </c>
      <c r="G52" s="8"/>
      <c r="H52" s="8"/>
    </row>
    <row r="53" customFormat="false" ht="23.85" hidden="false" customHeight="false" outlineLevel="0" collapsed="false">
      <c r="A53" s="6" t="n">
        <v>6190</v>
      </c>
      <c r="B53" s="4" t="s">
        <v>490</v>
      </c>
      <c r="C53" s="6" t="n">
        <v>2017</v>
      </c>
      <c r="D53" s="6"/>
      <c r="E53" s="6"/>
      <c r="F53" s="7" t="s">
        <v>491</v>
      </c>
      <c r="G53" s="8"/>
      <c r="H53" s="8"/>
    </row>
    <row r="54" customFormat="false" ht="15" hidden="false" customHeight="false" outlineLevel="0" collapsed="false">
      <c r="A54" s="6" t="n">
        <v>6380</v>
      </c>
      <c r="B54" s="4" t="s">
        <v>492</v>
      </c>
      <c r="C54" s="6" t="n">
        <v>2019</v>
      </c>
      <c r="D54" s="6"/>
      <c r="E54" s="6"/>
      <c r="F54" s="7" t="s">
        <v>493</v>
      </c>
      <c r="G54" s="8"/>
      <c r="H54" s="8"/>
    </row>
    <row r="55" customFormat="false" ht="15" hidden="false" customHeight="false" outlineLevel="0" collapsed="false">
      <c r="A55" s="6" t="n">
        <v>6381</v>
      </c>
      <c r="B55" s="4" t="s">
        <v>494</v>
      </c>
      <c r="C55" s="6" t="n">
        <v>2019</v>
      </c>
      <c r="D55" s="6"/>
      <c r="E55" s="6"/>
      <c r="F55" s="7" t="s">
        <v>495</v>
      </c>
      <c r="G55" s="8"/>
      <c r="H55" s="8"/>
    </row>
    <row r="56" customFormat="false" ht="23.85" hidden="false" customHeight="false" outlineLevel="0" collapsed="false">
      <c r="A56" s="6" t="n">
        <v>6582</v>
      </c>
      <c r="B56" s="4" t="s">
        <v>496</v>
      </c>
      <c r="C56" s="6" t="n">
        <v>2022</v>
      </c>
      <c r="D56" s="6"/>
      <c r="E56" s="6"/>
      <c r="F56" s="7" t="s">
        <v>497</v>
      </c>
      <c r="G56" s="8"/>
      <c r="H56" s="8"/>
    </row>
    <row r="57" customFormat="false" ht="23.85" hidden="false" customHeight="false" outlineLevel="0" collapsed="false">
      <c r="A57" s="6" t="n">
        <v>6619</v>
      </c>
      <c r="B57" s="4" t="s">
        <v>498</v>
      </c>
      <c r="C57" s="6" t="n">
        <v>2022</v>
      </c>
      <c r="D57" s="6"/>
      <c r="E57" s="6"/>
      <c r="F57" s="7" t="s">
        <v>499</v>
      </c>
      <c r="G57" s="8"/>
      <c r="H57" s="8"/>
    </row>
    <row r="58" customFormat="false" ht="15" hidden="false" customHeight="false" outlineLevel="0" collapsed="false">
      <c r="A58" s="6" t="n">
        <v>6768</v>
      </c>
      <c r="B58" s="4" t="s">
        <v>500</v>
      </c>
      <c r="C58" s="6" t="n">
        <v>2024</v>
      </c>
      <c r="D58" s="6"/>
      <c r="E58" s="6"/>
      <c r="F58" s="7" t="s">
        <v>501</v>
      </c>
      <c r="G58" s="8"/>
      <c r="H58" s="8"/>
    </row>
    <row r="59" customFormat="false" ht="15" hidden="false" customHeight="false" outlineLevel="0" collapsed="false">
      <c r="A59" s="6" t="n">
        <v>6840</v>
      </c>
      <c r="B59" s="4" t="s">
        <v>502</v>
      </c>
      <c r="C59" s="6" t="n">
        <v>2025</v>
      </c>
      <c r="D59" s="6"/>
      <c r="E59" s="6"/>
      <c r="F59" s="7" t="s">
        <v>503</v>
      </c>
      <c r="G59" s="8"/>
      <c r="H59" s="8"/>
    </row>
    <row r="60" customFormat="false" ht="15" hidden="false" customHeight="false" outlineLevel="0" collapsed="false">
      <c r="A60" s="6" t="n">
        <v>6841</v>
      </c>
      <c r="B60" s="4" t="s">
        <v>504</v>
      </c>
      <c r="C60" s="6" t="n">
        <v>2025</v>
      </c>
      <c r="D60" s="6"/>
      <c r="E60" s="6"/>
      <c r="F60" s="7" t="s">
        <v>505</v>
      </c>
      <c r="G60" s="8"/>
      <c r="H60" s="8"/>
    </row>
    <row r="61" customFormat="false" ht="15" hidden="false" customHeight="false" outlineLevel="0" collapsed="false">
      <c r="A61" s="6" t="n">
        <v>7021</v>
      </c>
      <c r="B61" s="4" t="s">
        <v>506</v>
      </c>
      <c r="C61" s="6" t="n">
        <v>2026</v>
      </c>
      <c r="D61" s="6"/>
      <c r="E61" s="6"/>
      <c r="F61" s="7" t="s">
        <v>507</v>
      </c>
      <c r="G61" s="8"/>
      <c r="H61" s="8"/>
    </row>
  </sheetData>
  <autoFilter ref="A1:H61"/>
  <hyperlinks>
    <hyperlink ref="F2" r:id="rId1" display="https://whc.unesco.org/en/tentativelists/105/"/>
    <hyperlink ref="F3" r:id="rId2" display="https://whc.unesco.org/en/tentativelists/106/"/>
    <hyperlink ref="F4" r:id="rId3" display="https://whc.unesco.org/en/tentativelists/107/"/>
    <hyperlink ref="F5" r:id="rId4" display="https://whc.unesco.org/en/tentativelists/108/"/>
    <hyperlink ref="F6" r:id="rId5" display="https://whc.unesco.org/en/tentativelists/1622/"/>
    <hyperlink ref="F7" r:id="rId6" display="https://whc.unesco.org/en/tentativelists/1623/"/>
    <hyperlink ref="F8" r:id="rId7" display="https://whc.unesco.org/en/tentativelists/1624/"/>
    <hyperlink ref="F9" r:id="rId8" display="https://whc.unesco.org/en/tentativelists/1625/"/>
    <hyperlink ref="F10" r:id="rId9" display="https://whc.unesco.org/en/tentativelists/1626/"/>
    <hyperlink ref="F11" r:id="rId10" display="https://whc.unesco.org/en/tentativelists/1627/"/>
    <hyperlink ref="F12" r:id="rId11" display="https://whc.unesco.org/en/tentativelists/1629/"/>
    <hyperlink ref="F13" r:id="rId12" display="https://whc.unesco.org/en/tentativelists/1631/"/>
    <hyperlink ref="F14" r:id="rId13" display="https://whc.unesco.org/en/tentativelists/1632/"/>
    <hyperlink ref="F15" r:id="rId14" display="https://whc.unesco.org/en/tentativelists/1633/"/>
    <hyperlink ref="F16" r:id="rId15" display="https://whc.unesco.org/en/tentativelists/1634/"/>
    <hyperlink ref="F17" r:id="rId16" display="https://whc.unesco.org/en/tentativelists/5320/"/>
    <hyperlink ref="F18" r:id="rId17" display="https://whc.unesco.org/en/tentativelists/5322/"/>
    <hyperlink ref="F19" r:id="rId18" display="https://whc.unesco.org/en/tentativelists/5324/"/>
    <hyperlink ref="F20" r:id="rId19" display="https://whc.unesco.org/en/tentativelists/5327/"/>
    <hyperlink ref="F21" r:id="rId20" display="https://whc.unesco.org/en/tentativelists/5328/"/>
    <hyperlink ref="F22" r:id="rId21" display="https://whc.unesco.org/en/tentativelists/5335/"/>
    <hyperlink ref="F23" r:id="rId22" display="https://whc.unesco.org/en/tentativelists/5337/"/>
    <hyperlink ref="F24" r:id="rId23" display="https://whc.unesco.org/en/tentativelists/5338/"/>
    <hyperlink ref="F25" r:id="rId24" display="https://whc.unesco.org/en/tentativelists/5341/"/>
    <hyperlink ref="F26" r:id="rId25" display="https://whc.unesco.org/en/tentativelists/5344/"/>
    <hyperlink ref="F27" r:id="rId26" display="https://whc.unesco.org/en/tentativelists/5347/"/>
    <hyperlink ref="F28" r:id="rId27" display="https://whc.unesco.org/en/tentativelists/5351/"/>
    <hyperlink ref="F29" r:id="rId28" display="https://whc.unesco.org/en/tentativelists/5353/"/>
    <hyperlink ref="F30" r:id="rId29" display="https://whc.unesco.org/en/tentativelists/5532/"/>
    <hyperlink ref="F31" r:id="rId30" display="https://whc.unesco.org/en/tentativelists/5533/"/>
    <hyperlink ref="F32" r:id="rId31" display="https://whc.unesco.org/en/tentativelists/5535/"/>
    <hyperlink ref="F33" r:id="rId32" display="https://whc.unesco.org/en/tentativelists/5803/"/>
    <hyperlink ref="F34" r:id="rId33" display="https://whc.unesco.org/en/tentativelists/5804/"/>
    <hyperlink ref="F35" r:id="rId34" display="https://whc.unesco.org/en/tentativelists/5806/"/>
    <hyperlink ref="F36" r:id="rId35" display="https://whc.unesco.org/en/tentativelists/5808/"/>
    <hyperlink ref="F37" r:id="rId36" display="https://whc.unesco.org/en/tentativelists/5813/"/>
    <hyperlink ref="F38" r:id="rId37" display="https://whc.unesco.org/en/tentativelists/5814/"/>
    <hyperlink ref="F39" r:id="rId38" display="https://whc.unesco.org/en/tentativelists/5815/"/>
    <hyperlink ref="F40" r:id="rId39" display="https://whc.unesco.org/en/tentativelists/5816/"/>
    <hyperlink ref="F41" r:id="rId40" display="https://whc.unesco.org/en/tentativelists/5989/"/>
    <hyperlink ref="F42" r:id="rId41" display="https://whc.unesco.org/en/tentativelists/5990/"/>
    <hyperlink ref="F43" r:id="rId42" display="https://whc.unesco.org/en/tentativelists/5992/"/>
    <hyperlink ref="F44" r:id="rId43" display="https://whc.unesco.org/en/tentativelists/5993/"/>
    <hyperlink ref="F45" r:id="rId44" display="https://whc.unesco.org/en/tentativelists/5994/"/>
    <hyperlink ref="F46" r:id="rId45" display="https://whc.unesco.org/en/tentativelists/5995/"/>
    <hyperlink ref="F47" r:id="rId46" display="https://whc.unesco.org/en/tentativelists/6093/"/>
    <hyperlink ref="F48" r:id="rId47" display="https://whc.unesco.org/en/tentativelists/6184/"/>
    <hyperlink ref="F49" r:id="rId48" display="https://whc.unesco.org/en/tentativelists/6185/"/>
    <hyperlink ref="F50" r:id="rId49" display="https://whc.unesco.org/en/tentativelists/6186/"/>
    <hyperlink ref="F51" r:id="rId50" display="https://whc.unesco.org/en/tentativelists/6187/"/>
    <hyperlink ref="F52" r:id="rId51" display="https://whc.unesco.org/en/tentativelists/6188/"/>
    <hyperlink ref="F53" r:id="rId52" display="https://whc.unesco.org/en/tentativelists/6190/"/>
    <hyperlink ref="F54" r:id="rId53" display="https://whc.unesco.org/en/tentativelists/6380/"/>
    <hyperlink ref="F55" r:id="rId54" display="https://whc.unesco.org/en/tentativelists/6381/"/>
    <hyperlink ref="F56" r:id="rId55" display="https://whc.unesco.org/en/tentativelists/6582/"/>
    <hyperlink ref="F57" r:id="rId56" display="https://whc.unesco.org/en/tentativelists/6619/"/>
    <hyperlink ref="F58" r:id="rId57" display="https://whc.unesco.org/en/tentativelists/6768/"/>
    <hyperlink ref="F59" r:id="rId58" display="https://whc.unesco.org/en/tentativelists/6840/"/>
    <hyperlink ref="F60" r:id="rId59" display="https://whc.unesco.org/en/tentativelists/6841/"/>
    <hyperlink ref="F61" r:id="rId60" display="https://whc.unesco.org/en/tentativelists/7021/"/>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4"/>
    <col collapsed="false" customWidth="true" hidden="false" outlineLevel="0" max="4" min="4" style="0" width="22"/>
    <col collapsed="false" customWidth="true" hidden="false" outlineLevel="0" max="5" min="5" style="0" width="9"/>
    <col collapsed="false" customWidth="true" hidden="false" outlineLevel="0" max="6" min="6" style="0" width="11"/>
    <col collapsed="false" customWidth="true" hidden="false" outlineLevel="0" max="7" min="7" style="0" width="26"/>
    <col collapsed="false" customWidth="true" hidden="false" outlineLevel="0" max="8" min="8" style="0" width="24"/>
    <col collapsed="false" customWidth="true" hidden="false" outlineLevel="0" max="9" min="9" style="0" width="70"/>
    <col collapsed="false" customWidth="true" hidden="false" outlineLevel="0" max="10" min="10" style="0" width="30"/>
    <col collapsed="false" customWidth="true" hidden="false" outlineLevel="0" max="11" min="11" style="0" width="26"/>
  </cols>
  <sheetData>
    <row r="1" customFormat="false" ht="31.5" hidden="false" customHeight="true" outlineLevel="0" collapsed="false">
      <c r="A1" s="5" t="s">
        <v>62</v>
      </c>
      <c r="B1" s="5" t="s">
        <v>63</v>
      </c>
      <c r="C1" s="5" t="s">
        <v>64</v>
      </c>
      <c r="D1" s="5" t="s">
        <v>508</v>
      </c>
      <c r="E1" s="5" t="s">
        <v>67</v>
      </c>
      <c r="F1" s="5" t="s">
        <v>69</v>
      </c>
      <c r="G1" s="5" t="s">
        <v>509</v>
      </c>
      <c r="H1" s="5" t="s">
        <v>510</v>
      </c>
      <c r="I1" s="5" t="s">
        <v>511</v>
      </c>
      <c r="J1" s="5" t="s">
        <v>76</v>
      </c>
      <c r="K1" s="5" t="s">
        <v>78</v>
      </c>
    </row>
    <row r="2" customFormat="false" ht="46.25" hidden="false" customHeight="false" outlineLevel="0" collapsed="false">
      <c r="A2" s="6" t="n">
        <v>1223</v>
      </c>
      <c r="B2" s="4" t="s">
        <v>512</v>
      </c>
      <c r="C2" s="6"/>
      <c r="D2" s="4" t="s">
        <v>513</v>
      </c>
      <c r="E2" s="6" t="n">
        <v>2008</v>
      </c>
      <c r="F2" s="4" t="s">
        <v>84</v>
      </c>
      <c r="G2" s="4" t="s">
        <v>514</v>
      </c>
      <c r="H2" s="4" t="s">
        <v>515</v>
      </c>
      <c r="I2" s="4" t="s">
        <v>516</v>
      </c>
      <c r="J2" s="7" t="s">
        <v>517</v>
      </c>
      <c r="K2" s="8"/>
    </row>
    <row r="3" customFormat="false" ht="35.05" hidden="false" customHeight="false" outlineLevel="0" collapsed="false">
      <c r="A3" s="6" t="n">
        <v>948</v>
      </c>
      <c r="B3" s="4" t="s">
        <v>518</v>
      </c>
      <c r="C3" s="6" t="s">
        <v>519</v>
      </c>
      <c r="D3" s="4" t="s">
        <v>520</v>
      </c>
      <c r="E3" s="6" t="n">
        <v>1999</v>
      </c>
      <c r="F3" s="4" t="s">
        <v>84</v>
      </c>
      <c r="G3" s="4" t="s">
        <v>514</v>
      </c>
      <c r="H3" s="4" t="s">
        <v>515</v>
      </c>
      <c r="I3" s="4" t="s">
        <v>521</v>
      </c>
      <c r="J3" s="7" t="s">
        <v>522</v>
      </c>
      <c r="K3" s="8"/>
    </row>
    <row r="4" customFormat="false" ht="35.05" hidden="false" customHeight="false" outlineLevel="0" collapsed="false">
      <c r="A4" s="6" t="n">
        <v>1610</v>
      </c>
      <c r="B4" s="4" t="s">
        <v>523</v>
      </c>
      <c r="C4" s="6" t="s">
        <v>524</v>
      </c>
      <c r="D4" s="4" t="s">
        <v>525</v>
      </c>
      <c r="E4" s="6" t="n">
        <v>2019</v>
      </c>
      <c r="F4" s="4" t="s">
        <v>84</v>
      </c>
      <c r="G4" s="4" t="s">
        <v>526</v>
      </c>
      <c r="H4" s="4" t="s">
        <v>527</v>
      </c>
      <c r="I4" s="4" t="s">
        <v>528</v>
      </c>
      <c r="J4" s="7" t="s">
        <v>529</v>
      </c>
      <c r="K4" s="8"/>
    </row>
    <row r="5" customFormat="false" ht="23.85" hidden="false" customHeight="false" outlineLevel="0" collapsed="false">
      <c r="A5" s="6" t="n">
        <v>502</v>
      </c>
      <c r="B5" s="4" t="s">
        <v>530</v>
      </c>
      <c r="C5" s="6" t="s">
        <v>531</v>
      </c>
      <c r="D5" s="4" t="s">
        <v>532</v>
      </c>
      <c r="E5" s="6" t="n">
        <v>1999</v>
      </c>
      <c r="F5" s="4" t="s">
        <v>84</v>
      </c>
      <c r="G5" s="4" t="s">
        <v>526</v>
      </c>
      <c r="H5" s="4" t="s">
        <v>515</v>
      </c>
      <c r="I5" s="4" t="s">
        <v>533</v>
      </c>
      <c r="J5" s="7" t="s">
        <v>534</v>
      </c>
      <c r="K5" s="8"/>
    </row>
    <row r="6" customFormat="false" ht="23.85" hidden="false" customHeight="false" outlineLevel="0" collapsed="false">
      <c r="A6" s="6" t="n">
        <v>677</v>
      </c>
      <c r="B6" s="4" t="s">
        <v>535</v>
      </c>
      <c r="C6" s="6" t="s">
        <v>536</v>
      </c>
      <c r="D6" s="4" t="s">
        <v>532</v>
      </c>
      <c r="E6" s="6" t="n">
        <v>1993</v>
      </c>
      <c r="F6" s="4" t="s">
        <v>84</v>
      </c>
      <c r="G6" s="4" t="s">
        <v>526</v>
      </c>
      <c r="H6" s="4" t="s">
        <v>537</v>
      </c>
      <c r="I6" s="4" t="s">
        <v>538</v>
      </c>
      <c r="J6" s="7" t="s">
        <v>539</v>
      </c>
      <c r="K6" s="8"/>
    </row>
    <row r="7" customFormat="false" ht="35.05" hidden="false" customHeight="false" outlineLevel="0" collapsed="false">
      <c r="A7" s="6" t="n">
        <v>1328</v>
      </c>
      <c r="B7" s="4" t="s">
        <v>540</v>
      </c>
      <c r="C7" s="6" t="s">
        <v>541</v>
      </c>
      <c r="D7" s="4" t="s">
        <v>520</v>
      </c>
      <c r="E7" s="6" t="n">
        <v>2010</v>
      </c>
      <c r="F7" s="4" t="s">
        <v>84</v>
      </c>
      <c r="G7" s="4" t="s">
        <v>526</v>
      </c>
      <c r="H7" s="4" t="s">
        <v>542</v>
      </c>
      <c r="I7" s="4" t="s">
        <v>543</v>
      </c>
      <c r="J7" s="7" t="s">
        <v>544</v>
      </c>
      <c r="K7" s="8"/>
    </row>
    <row r="8" customFormat="false" ht="35.05" hidden="false" customHeight="false" outlineLevel="0" collapsed="false">
      <c r="A8" s="6" t="n">
        <v>1091</v>
      </c>
      <c r="B8" s="4" t="s">
        <v>545</v>
      </c>
      <c r="C8" s="6" t="s">
        <v>546</v>
      </c>
      <c r="D8" s="4" t="s">
        <v>547</v>
      </c>
      <c r="E8" s="6" t="n">
        <v>2004</v>
      </c>
      <c r="F8" s="4" t="s">
        <v>84</v>
      </c>
      <c r="G8" s="4" t="s">
        <v>526</v>
      </c>
      <c r="H8" s="4" t="s">
        <v>548</v>
      </c>
      <c r="I8" s="4" t="s">
        <v>549</v>
      </c>
      <c r="J8" s="7" t="s">
        <v>550</v>
      </c>
      <c r="K8" s="8"/>
    </row>
    <row r="9" customFormat="false" ht="23.85" hidden="false" customHeight="false" outlineLevel="0" collapsed="false">
      <c r="A9" s="6" t="n">
        <v>1537</v>
      </c>
      <c r="B9" s="4" t="s">
        <v>551</v>
      </c>
      <c r="C9" s="6" t="s">
        <v>552</v>
      </c>
      <c r="D9" s="4" t="s">
        <v>553</v>
      </c>
      <c r="E9" s="6" t="n">
        <v>2018</v>
      </c>
      <c r="F9" s="4" t="s">
        <v>84</v>
      </c>
      <c r="G9" s="4" t="s">
        <v>526</v>
      </c>
      <c r="H9" s="4" t="s">
        <v>352</v>
      </c>
      <c r="I9" s="4" t="s">
        <v>554</v>
      </c>
      <c r="J9" s="7" t="s">
        <v>555</v>
      </c>
      <c r="K9" s="8"/>
    </row>
    <row r="10" customFormat="false" ht="29.85" hidden="false" customHeight="false" outlineLevel="0" collapsed="false">
      <c r="A10" s="6" t="n">
        <v>144</v>
      </c>
      <c r="B10" s="4" t="s">
        <v>556</v>
      </c>
      <c r="C10" s="6" t="s">
        <v>557</v>
      </c>
      <c r="D10" s="4" t="s">
        <v>558</v>
      </c>
      <c r="E10" s="6" t="n">
        <v>1981</v>
      </c>
      <c r="F10" s="4" t="s">
        <v>84</v>
      </c>
      <c r="G10" s="4" t="s">
        <v>526</v>
      </c>
      <c r="H10" s="4" t="s">
        <v>559</v>
      </c>
      <c r="I10" s="4" t="s">
        <v>560</v>
      </c>
      <c r="J10" s="7" t="s">
        <v>561</v>
      </c>
      <c r="K10" s="8"/>
    </row>
    <row r="11" customFormat="false" ht="23.85" hidden="false" customHeight="false" outlineLevel="0" collapsed="false">
      <c r="A11" s="6" t="n">
        <v>365</v>
      </c>
      <c r="B11" s="4" t="s">
        <v>562</v>
      </c>
      <c r="C11" s="6" t="s">
        <v>563</v>
      </c>
      <c r="D11" s="4" t="s">
        <v>564</v>
      </c>
      <c r="E11" s="6" t="n">
        <v>1986</v>
      </c>
      <c r="F11" s="4" t="s">
        <v>84</v>
      </c>
      <c r="G11" s="4" t="s">
        <v>526</v>
      </c>
      <c r="H11" s="4" t="s">
        <v>565</v>
      </c>
      <c r="I11" s="4" t="s">
        <v>566</v>
      </c>
      <c r="J11" s="7" t="s">
        <v>567</v>
      </c>
      <c r="K11" s="8"/>
    </row>
    <row r="12" customFormat="false" ht="23.85" hidden="false" customHeight="false" outlineLevel="0" collapsed="false">
      <c r="A12" s="6" t="n">
        <v>1246</v>
      </c>
      <c r="B12" s="4" t="s">
        <v>568</v>
      </c>
      <c r="C12" s="6" t="s">
        <v>569</v>
      </c>
      <c r="D12" s="4" t="s">
        <v>570</v>
      </c>
      <c r="E12" s="6" t="n">
        <v>2007</v>
      </c>
      <c r="F12" s="4" t="s">
        <v>84</v>
      </c>
      <c r="G12" s="4" t="s">
        <v>526</v>
      </c>
      <c r="H12" s="4" t="s">
        <v>352</v>
      </c>
      <c r="I12" s="4" t="s">
        <v>571</v>
      </c>
      <c r="J12" s="7" t="s">
        <v>572</v>
      </c>
      <c r="K12" s="8"/>
    </row>
    <row r="13" customFormat="false" ht="23.85" hidden="false" customHeight="false" outlineLevel="0" collapsed="false">
      <c r="A13" s="6" t="n">
        <v>972</v>
      </c>
      <c r="B13" s="4" t="s">
        <v>573</v>
      </c>
      <c r="C13" s="6" t="s">
        <v>574</v>
      </c>
      <c r="D13" s="4" t="s">
        <v>570</v>
      </c>
      <c r="E13" s="6" t="n">
        <v>2000</v>
      </c>
      <c r="F13" s="4" t="s">
        <v>84</v>
      </c>
      <c r="G13" s="4" t="s">
        <v>575</v>
      </c>
      <c r="H13" s="4" t="s">
        <v>576</v>
      </c>
      <c r="I13" s="4" t="s">
        <v>577</v>
      </c>
      <c r="J13" s="7" t="s">
        <v>578</v>
      </c>
      <c r="K13" s="8"/>
    </row>
    <row r="14" customFormat="false" ht="35.05" hidden="false" customHeight="false" outlineLevel="0" collapsed="false">
      <c r="A14" s="6" t="n">
        <v>660</v>
      </c>
      <c r="B14" s="4" t="s">
        <v>579</v>
      </c>
      <c r="C14" s="6" t="s">
        <v>580</v>
      </c>
      <c r="D14" s="4" t="s">
        <v>570</v>
      </c>
      <c r="E14" s="6" t="n">
        <v>1993</v>
      </c>
      <c r="F14" s="4" t="s">
        <v>84</v>
      </c>
      <c r="G14" s="4" t="s">
        <v>526</v>
      </c>
      <c r="H14" s="4" t="s">
        <v>581</v>
      </c>
      <c r="I14" s="4" t="s">
        <v>582</v>
      </c>
      <c r="J14" s="7" t="s">
        <v>583</v>
      </c>
      <c r="K14" s="8"/>
    </row>
    <row r="15" customFormat="false" ht="29.85" hidden="false" customHeight="false" outlineLevel="0" collapsed="false">
      <c r="A15" s="6" t="n">
        <v>688</v>
      </c>
      <c r="B15" s="4" t="s">
        <v>584</v>
      </c>
      <c r="C15" s="6" t="s">
        <v>585</v>
      </c>
      <c r="D15" s="4" t="s">
        <v>570</v>
      </c>
      <c r="E15" s="6" t="n">
        <v>1994</v>
      </c>
      <c r="F15" s="4" t="s">
        <v>84</v>
      </c>
      <c r="G15" s="4" t="s">
        <v>526</v>
      </c>
      <c r="H15" s="4" t="s">
        <v>581</v>
      </c>
      <c r="I15" s="4" t="s">
        <v>586</v>
      </c>
      <c r="J15" s="7" t="s">
        <v>587</v>
      </c>
      <c r="K15" s="8"/>
    </row>
    <row r="16" customFormat="false" ht="23.85" hidden="false" customHeight="false" outlineLevel="0" collapsed="false">
      <c r="A16" s="6" t="n">
        <v>870</v>
      </c>
      <c r="B16" s="4" t="s">
        <v>588</v>
      </c>
      <c r="C16" s="6" t="s">
        <v>589</v>
      </c>
      <c r="D16" s="4" t="s">
        <v>570</v>
      </c>
      <c r="E16" s="6" t="n">
        <v>1998</v>
      </c>
      <c r="F16" s="4" t="s">
        <v>84</v>
      </c>
      <c r="G16" s="4" t="s">
        <v>575</v>
      </c>
      <c r="H16" s="4" t="s">
        <v>581</v>
      </c>
      <c r="I16" s="4" t="s">
        <v>590</v>
      </c>
      <c r="J16" s="7" t="s">
        <v>591</v>
      </c>
      <c r="K16" s="8"/>
    </row>
    <row r="17" customFormat="false" ht="23.85" hidden="false" customHeight="false" outlineLevel="0" collapsed="false">
      <c r="A17" s="6" t="n">
        <v>1142</v>
      </c>
      <c r="B17" s="4" t="s">
        <v>592</v>
      </c>
      <c r="C17" s="6" t="s">
        <v>593</v>
      </c>
      <c r="D17" s="4" t="s">
        <v>570</v>
      </c>
      <c r="E17" s="6" t="n">
        <v>2004</v>
      </c>
      <c r="F17" s="4" t="s">
        <v>84</v>
      </c>
      <c r="G17" s="4" t="s">
        <v>526</v>
      </c>
      <c r="H17" s="4" t="s">
        <v>581</v>
      </c>
      <c r="I17" s="4" t="s">
        <v>594</v>
      </c>
      <c r="J17" s="7" t="s">
        <v>595</v>
      </c>
      <c r="K17" s="8"/>
    </row>
    <row r="18" customFormat="false" ht="23.85" hidden="false" customHeight="false" outlineLevel="0" collapsed="false">
      <c r="A18" s="6" t="n">
        <v>1757</v>
      </c>
      <c r="B18" s="4" t="s">
        <v>596</v>
      </c>
      <c r="C18" s="6" t="s">
        <v>597</v>
      </c>
      <c r="D18" s="4" t="s">
        <v>570</v>
      </c>
      <c r="E18" s="6" t="n">
        <v>2026</v>
      </c>
      <c r="F18" s="4" t="s">
        <v>84</v>
      </c>
      <c r="G18" s="4" t="s">
        <v>526</v>
      </c>
      <c r="H18" s="4" t="s">
        <v>581</v>
      </c>
      <c r="I18" s="4" t="s">
        <v>598</v>
      </c>
      <c r="J18" s="7" t="s">
        <v>599</v>
      </c>
      <c r="K18" s="8"/>
    </row>
    <row r="19" customFormat="false" ht="15" hidden="false" customHeight="false" outlineLevel="0" collapsed="false">
      <c r="A19" s="6" t="n">
        <v>1477</v>
      </c>
      <c r="B19" s="4" t="s">
        <v>600</v>
      </c>
      <c r="C19" s="6" t="s">
        <v>601</v>
      </c>
      <c r="D19" s="4" t="s">
        <v>602</v>
      </c>
      <c r="E19" s="6" t="n">
        <v>2015</v>
      </c>
      <c r="F19" s="4" t="s">
        <v>84</v>
      </c>
      <c r="G19" s="4" t="s">
        <v>526</v>
      </c>
      <c r="H19" s="4" t="s">
        <v>603</v>
      </c>
      <c r="I19" s="4" t="s">
        <v>604</v>
      </c>
      <c r="J19" s="7" t="s">
        <v>605</v>
      </c>
      <c r="K19" s="8"/>
    </row>
    <row r="20" customFormat="false" ht="23.85" hidden="false" customHeight="false" outlineLevel="0" collapsed="false">
      <c r="A20" s="6" t="n">
        <v>1498</v>
      </c>
      <c r="B20" s="4" t="s">
        <v>606</v>
      </c>
      <c r="C20" s="6" t="s">
        <v>607</v>
      </c>
      <c r="D20" s="4" t="s">
        <v>602</v>
      </c>
      <c r="E20" s="6" t="n">
        <v>2019</v>
      </c>
      <c r="F20" s="4" t="s">
        <v>84</v>
      </c>
      <c r="G20" s="4" t="s">
        <v>526</v>
      </c>
      <c r="H20" s="4" t="s">
        <v>581</v>
      </c>
      <c r="I20" s="4" t="s">
        <v>608</v>
      </c>
      <c r="J20" s="7" t="s">
        <v>609</v>
      </c>
      <c r="K20" s="8"/>
    </row>
    <row r="21" customFormat="false" ht="23.85" hidden="false" customHeight="false" outlineLevel="0" collapsed="false">
      <c r="A21" s="6" t="n">
        <v>1439</v>
      </c>
      <c r="B21" s="4" t="s">
        <v>610</v>
      </c>
      <c r="C21" s="6"/>
      <c r="D21" s="4" t="s">
        <v>602</v>
      </c>
      <c r="E21" s="6" t="n">
        <v>2014</v>
      </c>
      <c r="F21" s="4" t="s">
        <v>84</v>
      </c>
      <c r="G21" s="4" t="s">
        <v>526</v>
      </c>
      <c r="H21" s="4" t="s">
        <v>611</v>
      </c>
      <c r="I21" s="4" t="s">
        <v>612</v>
      </c>
      <c r="J21" s="7" t="s">
        <v>613</v>
      </c>
      <c r="K21" s="8"/>
    </row>
    <row r="22" customFormat="false" ht="23.85" hidden="false" customHeight="false" outlineLevel="0" collapsed="false">
      <c r="A22" s="6" t="n">
        <v>559</v>
      </c>
      <c r="B22" s="4" t="s">
        <v>614</v>
      </c>
      <c r="C22" s="6" t="s">
        <v>615</v>
      </c>
      <c r="D22" s="4" t="s">
        <v>616</v>
      </c>
      <c r="E22" s="6" t="n">
        <v>1991</v>
      </c>
      <c r="F22" s="4" t="s">
        <v>84</v>
      </c>
      <c r="G22" s="4" t="s">
        <v>526</v>
      </c>
      <c r="H22" s="4" t="s">
        <v>617</v>
      </c>
      <c r="I22" s="4" t="s">
        <v>618</v>
      </c>
      <c r="J22" s="7" t="s">
        <v>619</v>
      </c>
      <c r="K22" s="8"/>
    </row>
    <row r="23" customFormat="false" ht="23.85" hidden="false" customHeight="false" outlineLevel="0" collapsed="false">
      <c r="A23" s="6" t="n">
        <v>1759</v>
      </c>
      <c r="B23" s="4" t="s">
        <v>620</v>
      </c>
      <c r="C23" s="6" t="s">
        <v>621</v>
      </c>
      <c r="D23" s="4" t="s">
        <v>622</v>
      </c>
      <c r="E23" s="6" t="n">
        <v>2026</v>
      </c>
      <c r="F23" s="4" t="s">
        <v>84</v>
      </c>
      <c r="G23" s="4" t="s">
        <v>526</v>
      </c>
      <c r="H23" s="4" t="s">
        <v>623</v>
      </c>
      <c r="I23" s="4" t="s">
        <v>624</v>
      </c>
      <c r="J23" s="7" t="s">
        <v>625</v>
      </c>
      <c r="K23" s="8"/>
    </row>
    <row r="24" customFormat="false" ht="29.85" hidden="false" customHeight="false" outlineLevel="0" collapsed="false">
      <c r="A24" s="6" t="n">
        <v>1675</v>
      </c>
      <c r="B24" s="4" t="s">
        <v>626</v>
      </c>
      <c r="C24" s="6" t="s">
        <v>627</v>
      </c>
      <c r="D24" s="4" t="s">
        <v>628</v>
      </c>
      <c r="E24" s="6" t="n">
        <v>2023</v>
      </c>
      <c r="F24" s="4" t="s">
        <v>304</v>
      </c>
      <c r="G24" s="4" t="s">
        <v>629</v>
      </c>
      <c r="H24" s="4" t="s">
        <v>630</v>
      </c>
      <c r="I24" s="4" t="s">
        <v>631</v>
      </c>
      <c r="J24" s="7" t="s">
        <v>632</v>
      </c>
      <c r="K24" s="8"/>
    </row>
    <row r="25" customFormat="false" ht="15" hidden="false" customHeight="false" outlineLevel="0" collapsed="false">
      <c r="A25" s="6" t="n">
        <v>1346</v>
      </c>
      <c r="B25" s="4" t="s">
        <v>633</v>
      </c>
      <c r="C25" s="6" t="s">
        <v>634</v>
      </c>
      <c r="D25" s="4" t="s">
        <v>635</v>
      </c>
      <c r="E25" s="6" t="n">
        <v>2010</v>
      </c>
      <c r="F25" s="4" t="s">
        <v>84</v>
      </c>
      <c r="G25" s="4" t="s">
        <v>526</v>
      </c>
      <c r="H25" s="4" t="s">
        <v>102</v>
      </c>
      <c r="I25" s="4" t="s">
        <v>636</v>
      </c>
      <c r="J25" s="7" t="s">
        <v>637</v>
      </c>
      <c r="K25" s="8"/>
    </row>
    <row r="26" customFormat="false" ht="15" hidden="false" customHeight="false" outlineLevel="0" collapsed="false">
      <c r="A26" s="6" t="n">
        <v>1544</v>
      </c>
      <c r="B26" s="4" t="s">
        <v>638</v>
      </c>
      <c r="C26" s="6"/>
      <c r="D26" s="4" t="s">
        <v>635</v>
      </c>
      <c r="E26" s="6" t="n">
        <v>2017</v>
      </c>
      <c r="F26" s="4" t="s">
        <v>84</v>
      </c>
      <c r="G26" s="4" t="s">
        <v>526</v>
      </c>
      <c r="H26" s="4" t="s">
        <v>102</v>
      </c>
      <c r="I26" s="4" t="s">
        <v>639</v>
      </c>
      <c r="J26" s="7" t="s">
        <v>640</v>
      </c>
      <c r="K26" s="8"/>
    </row>
    <row r="27" customFormat="false" ht="15" hidden="false" customHeight="false" outlineLevel="0" collapsed="false">
      <c r="A27" s="6" t="n">
        <v>1230</v>
      </c>
      <c r="B27" s="4" t="s">
        <v>641</v>
      </c>
      <c r="C27" s="6"/>
      <c r="D27" s="4" t="s">
        <v>642</v>
      </c>
      <c r="E27" s="6" t="n">
        <v>2009</v>
      </c>
      <c r="F27" s="4" t="s">
        <v>84</v>
      </c>
      <c r="G27" s="4" t="s">
        <v>526</v>
      </c>
      <c r="H27" s="4" t="s">
        <v>102</v>
      </c>
      <c r="I27" s="4" t="s">
        <v>643</v>
      </c>
      <c r="J27" s="7" t="s">
        <v>644</v>
      </c>
      <c r="K27" s="8"/>
    </row>
    <row r="28" customFormat="false" ht="15" hidden="false" customHeight="false" outlineLevel="0" collapsed="false">
      <c r="A28" s="6" t="n">
        <v>1627</v>
      </c>
      <c r="B28" s="4" t="s">
        <v>645</v>
      </c>
      <c r="C28" s="6" t="s">
        <v>646</v>
      </c>
      <c r="D28" s="4" t="s">
        <v>647</v>
      </c>
      <c r="E28" s="6" t="n">
        <v>2025</v>
      </c>
      <c r="F28" s="4" t="s">
        <v>84</v>
      </c>
      <c r="G28" s="4" t="s">
        <v>526</v>
      </c>
      <c r="H28" s="4" t="s">
        <v>102</v>
      </c>
      <c r="I28" s="4" t="s">
        <v>648</v>
      </c>
      <c r="J28" s="7" t="s">
        <v>649</v>
      </c>
      <c r="K28" s="8"/>
    </row>
    <row r="29" customFormat="false" ht="15" hidden="false" customHeight="false" outlineLevel="0" collapsed="false">
      <c r="A29" s="6" t="n">
        <v>1518</v>
      </c>
      <c r="B29" s="4" t="s">
        <v>650</v>
      </c>
      <c r="C29" s="6"/>
      <c r="D29" s="4" t="s">
        <v>651</v>
      </c>
      <c r="E29" s="6" t="n">
        <v>2016</v>
      </c>
      <c r="F29" s="4" t="s">
        <v>84</v>
      </c>
      <c r="G29" s="4" t="s">
        <v>526</v>
      </c>
      <c r="H29" s="4" t="s">
        <v>102</v>
      </c>
      <c r="I29" s="4" t="s">
        <v>652</v>
      </c>
      <c r="J29" s="7" t="s">
        <v>653</v>
      </c>
      <c r="K29" s="8"/>
    </row>
    <row r="30" customFormat="false" ht="29.85" hidden="false" customHeight="false" outlineLevel="0" collapsed="false">
      <c r="A30" s="6" t="n">
        <v>208</v>
      </c>
      <c r="B30" s="4" t="s">
        <v>654</v>
      </c>
      <c r="C30" s="6" t="s">
        <v>655</v>
      </c>
      <c r="D30" s="4" t="s">
        <v>656</v>
      </c>
      <c r="E30" s="6" t="n">
        <v>2003</v>
      </c>
      <c r="F30" s="4" t="s">
        <v>84</v>
      </c>
      <c r="G30" s="4" t="s">
        <v>575</v>
      </c>
      <c r="H30" s="4" t="s">
        <v>102</v>
      </c>
      <c r="I30" s="4" t="s">
        <v>657</v>
      </c>
      <c r="J30" s="7" t="s">
        <v>658</v>
      </c>
      <c r="K30" s="8"/>
    </row>
    <row r="31" customFormat="false" ht="23.85" hidden="false" customHeight="false" outlineLevel="0" collapsed="false">
      <c r="A31" s="6" t="n">
        <v>1448</v>
      </c>
      <c r="B31" s="4" t="s">
        <v>659</v>
      </c>
      <c r="C31" s="6"/>
      <c r="D31" s="4" t="s">
        <v>660</v>
      </c>
      <c r="E31" s="6" t="n">
        <v>2017</v>
      </c>
      <c r="F31" s="4" t="s">
        <v>304</v>
      </c>
      <c r="G31" s="4" t="s">
        <v>526</v>
      </c>
      <c r="H31" s="4" t="s">
        <v>661</v>
      </c>
      <c r="I31" s="4" t="s">
        <v>662</v>
      </c>
      <c r="J31" s="7" t="s">
        <v>663</v>
      </c>
      <c r="K31" s="8"/>
    </row>
    <row r="32" customFormat="false" ht="23.85" hidden="false" customHeight="false" outlineLevel="0" collapsed="false">
      <c r="A32" s="6" t="n">
        <v>340</v>
      </c>
      <c r="B32" s="4" t="s">
        <v>664</v>
      </c>
      <c r="C32" s="6" t="s">
        <v>665</v>
      </c>
      <c r="D32" s="4" t="s">
        <v>666</v>
      </c>
      <c r="E32" s="6" t="n">
        <v>1985</v>
      </c>
      <c r="F32" s="4" t="s">
        <v>84</v>
      </c>
      <c r="G32" s="4" t="s">
        <v>526</v>
      </c>
      <c r="H32" s="4" t="s">
        <v>661</v>
      </c>
      <c r="I32" s="4" t="s">
        <v>667</v>
      </c>
      <c r="J32" s="7" t="s">
        <v>668</v>
      </c>
      <c r="K32" s="8"/>
    </row>
    <row r="33" customFormat="false" ht="15" hidden="false" customHeight="false" outlineLevel="0" collapsed="false">
      <c r="A33" s="6" t="n">
        <v>1012</v>
      </c>
      <c r="B33" s="4" t="s">
        <v>669</v>
      </c>
      <c r="C33" s="6" t="s">
        <v>670</v>
      </c>
      <c r="D33" s="4" t="s">
        <v>513</v>
      </c>
      <c r="E33" s="6" t="n">
        <v>2000</v>
      </c>
      <c r="F33" s="4" t="s">
        <v>84</v>
      </c>
      <c r="G33" s="4" t="s">
        <v>526</v>
      </c>
      <c r="H33" s="4" t="s">
        <v>661</v>
      </c>
      <c r="I33" s="4" t="s">
        <v>671</v>
      </c>
      <c r="J33" s="7" t="s">
        <v>672</v>
      </c>
      <c r="K33" s="8"/>
    </row>
    <row r="34" customFormat="false" ht="35.05" hidden="false" customHeight="false" outlineLevel="0" collapsed="false">
      <c r="A34" s="6" t="n">
        <v>1574</v>
      </c>
      <c r="B34" s="4" t="s">
        <v>673</v>
      </c>
      <c r="C34" s="6" t="s">
        <v>674</v>
      </c>
      <c r="D34" s="4" t="s">
        <v>570</v>
      </c>
      <c r="E34" s="6" t="n">
        <v>2021</v>
      </c>
      <c r="F34" s="4" t="s">
        <v>84</v>
      </c>
      <c r="G34" s="4" t="s">
        <v>526</v>
      </c>
      <c r="H34" s="4" t="s">
        <v>661</v>
      </c>
      <c r="I34" s="4" t="s">
        <v>675</v>
      </c>
      <c r="J34" s="7" t="s">
        <v>676</v>
      </c>
      <c r="K34" s="8"/>
    </row>
  </sheetData>
  <autoFilter ref="A1:K34"/>
  <hyperlinks>
    <hyperlink ref="J2" r:id="rId1" display="https://whc.unesco.org/en/list/1223/"/>
    <hyperlink ref="J3" r:id="rId2" display="https://whc.unesco.org/en/list/948/"/>
    <hyperlink ref="J4" r:id="rId3" display="https://whc.unesco.org/en/list/1610/"/>
    <hyperlink ref="J5" r:id="rId4" display="https://whc.unesco.org/en/list/502/"/>
    <hyperlink ref="J6" r:id="rId5" display="https://whc.unesco.org/en/list/677/"/>
    <hyperlink ref="J7" r:id="rId6" display="https://whc.unesco.org/en/list/1328/"/>
    <hyperlink ref="J8" r:id="rId7" display="https://whc.unesco.org/en/list/1091/"/>
    <hyperlink ref="J9" r:id="rId8" display="https://whc.unesco.org/en/list/1537/"/>
    <hyperlink ref="J10" r:id="rId9" display="https://whc.unesco.org/en/list/144/"/>
    <hyperlink ref="J11" r:id="rId10" display="https://whc.unesco.org/en/list/365/"/>
    <hyperlink ref="J12" r:id="rId11" display="https://whc.unesco.org/en/list/1246/"/>
    <hyperlink ref="J13" r:id="rId12" display="https://whc.unesco.org/en/list/972/"/>
    <hyperlink ref="J14" r:id="rId13" display="https://whc.unesco.org/en/list/660/"/>
    <hyperlink ref="J15" r:id="rId14" display="https://whc.unesco.org/en/list/688/"/>
    <hyperlink ref="J16" r:id="rId15" display="https://whc.unesco.org/en/list/870/"/>
    <hyperlink ref="J17" r:id="rId16" display="https://whc.unesco.org/en/list/1142/"/>
    <hyperlink ref="J18" r:id="rId17" display="https://whc.unesco.org/en/list/1757/"/>
    <hyperlink ref="J19" r:id="rId18" display="https://whc.unesco.org/en/list/1477/"/>
    <hyperlink ref="J20" r:id="rId19" display="https://whc.unesco.org/en/list/1498/"/>
    <hyperlink ref="J21" r:id="rId20" display="https://whc.unesco.org/en/list/1439/"/>
    <hyperlink ref="J22" r:id="rId21" display="https://whc.unesco.org/en/list/559/"/>
    <hyperlink ref="J23" r:id="rId22" display="https://whc.unesco.org/en/list/1759/"/>
    <hyperlink ref="J24" r:id="rId23" display="https://whc.unesco.org/en/list/1675/"/>
    <hyperlink ref="J25" r:id="rId24" display="https://whc.unesco.org/en/list/1346/"/>
    <hyperlink ref="J26" r:id="rId25" display="https://whc.unesco.org/en/list/1544/"/>
    <hyperlink ref="J27" r:id="rId26" display="https://whc.unesco.org/en/list/1230/"/>
    <hyperlink ref="J28" r:id="rId27" display="https://whc.unesco.org/en/list/1627/"/>
    <hyperlink ref="J29" r:id="rId28" display="https://whc.unesco.org/en/list/1518/"/>
    <hyperlink ref="J30" r:id="rId29" display="https://whc.unesco.org/en/list/208/"/>
    <hyperlink ref="J31" r:id="rId30" display="https://whc.unesco.org/en/list/1448/"/>
    <hyperlink ref="J32" r:id="rId31" display="https://whc.unesco.org/en/list/340/"/>
    <hyperlink ref="J33" r:id="rId32" display="https://whc.unesco.org/en/list/1012/"/>
    <hyperlink ref="J34" r:id="rId33" display="https://whc.unesco.org/en/list/15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24"/>
    <col collapsed="false" customWidth="true" hidden="false" outlineLevel="0" max="4" min="4" style="0" width="18"/>
    <col collapsed="false" customWidth="true" hidden="false" outlineLevel="0" max="5" min="5" style="0" width="26"/>
    <col collapsed="false" customWidth="true" hidden="false" outlineLevel="0" max="6" min="6" style="0" width="20"/>
    <col collapsed="false" customWidth="true" hidden="false" outlineLevel="0" max="7" min="7" style="0" width="70"/>
    <col collapsed="false" customWidth="true" hidden="false" outlineLevel="0" max="8" min="8" style="0" width="40"/>
  </cols>
  <sheetData>
    <row r="1" customFormat="false" ht="31.5" hidden="false" customHeight="true" outlineLevel="0" collapsed="false">
      <c r="A1" s="5" t="s">
        <v>677</v>
      </c>
      <c r="B1" s="5" t="s">
        <v>678</v>
      </c>
      <c r="C1" s="5" t="s">
        <v>679</v>
      </c>
      <c r="D1" s="5" t="s">
        <v>680</v>
      </c>
      <c r="E1" s="5" t="s">
        <v>681</v>
      </c>
      <c r="F1" s="5" t="s">
        <v>682</v>
      </c>
      <c r="G1" s="5" t="s">
        <v>383</v>
      </c>
      <c r="H1" s="5" t="s">
        <v>683</v>
      </c>
    </row>
    <row r="2" customFormat="false" ht="46.25" hidden="false" customHeight="false" outlineLevel="0" collapsed="false">
      <c r="A2" s="4" t="s">
        <v>684</v>
      </c>
      <c r="B2" s="4" t="s">
        <v>685</v>
      </c>
      <c r="C2" s="4" t="s">
        <v>686</v>
      </c>
      <c r="D2" s="4" t="s">
        <v>687</v>
      </c>
      <c r="E2" s="4" t="s">
        <v>688</v>
      </c>
      <c r="F2" s="4" t="s">
        <v>689</v>
      </c>
      <c r="G2" s="4" t="s">
        <v>690</v>
      </c>
      <c r="H2" s="7" t="s">
        <v>691</v>
      </c>
    </row>
    <row r="3" customFormat="false" ht="23.85" hidden="false" customHeight="false" outlineLevel="0" collapsed="false">
      <c r="A3" s="4" t="s">
        <v>684</v>
      </c>
      <c r="B3" s="4" t="s">
        <v>692</v>
      </c>
      <c r="C3" s="4" t="s">
        <v>693</v>
      </c>
      <c r="D3" s="4" t="s">
        <v>694</v>
      </c>
      <c r="E3" s="4" t="s">
        <v>695</v>
      </c>
      <c r="F3" s="4" t="s">
        <v>696</v>
      </c>
      <c r="G3" s="4" t="s">
        <v>697</v>
      </c>
      <c r="H3" s="7" t="s">
        <v>698</v>
      </c>
    </row>
    <row r="4" customFormat="false" ht="23.85" hidden="false" customHeight="false" outlineLevel="0" collapsed="false">
      <c r="A4" s="4" t="s">
        <v>699</v>
      </c>
      <c r="B4" s="4" t="s">
        <v>700</v>
      </c>
      <c r="C4" s="4" t="s">
        <v>701</v>
      </c>
      <c r="D4" s="4" t="s">
        <v>702</v>
      </c>
      <c r="E4" s="4" t="s">
        <v>703</v>
      </c>
      <c r="F4" s="4" t="s">
        <v>704</v>
      </c>
      <c r="G4" s="4" t="s">
        <v>705</v>
      </c>
      <c r="H4" s="7" t="s">
        <v>706</v>
      </c>
    </row>
    <row r="5" customFormat="false" ht="23.85" hidden="false" customHeight="false" outlineLevel="0" collapsed="false">
      <c r="A5" s="4" t="s">
        <v>707</v>
      </c>
      <c r="B5" s="4" t="s">
        <v>708</v>
      </c>
      <c r="C5" s="4" t="s">
        <v>709</v>
      </c>
      <c r="D5" s="4" t="s">
        <v>710</v>
      </c>
      <c r="E5" s="4" t="s">
        <v>695</v>
      </c>
      <c r="F5" s="4" t="s">
        <v>711</v>
      </c>
      <c r="G5" s="4" t="s">
        <v>712</v>
      </c>
      <c r="H5" s="7" t="s">
        <v>713</v>
      </c>
    </row>
    <row r="6" customFormat="false" ht="23.85" hidden="false" customHeight="false" outlineLevel="0" collapsed="false">
      <c r="A6" s="4" t="s">
        <v>707</v>
      </c>
      <c r="B6" s="4" t="s">
        <v>714</v>
      </c>
      <c r="C6" s="4" t="s">
        <v>709</v>
      </c>
      <c r="D6" s="4" t="s">
        <v>710</v>
      </c>
      <c r="E6" s="4" t="s">
        <v>695</v>
      </c>
      <c r="F6" s="4" t="s">
        <v>711</v>
      </c>
      <c r="G6" s="4" t="s">
        <v>715</v>
      </c>
      <c r="H6" s="7" t="s">
        <v>713</v>
      </c>
    </row>
    <row r="7" customFormat="false" ht="23.85" hidden="false" customHeight="false" outlineLevel="0" collapsed="false">
      <c r="A7" s="4" t="s">
        <v>707</v>
      </c>
      <c r="B7" s="4" t="s">
        <v>716</v>
      </c>
      <c r="C7" s="4" t="s">
        <v>709</v>
      </c>
      <c r="D7" s="4" t="s">
        <v>717</v>
      </c>
      <c r="E7" s="4" t="s">
        <v>718</v>
      </c>
      <c r="F7" s="4" t="s">
        <v>719</v>
      </c>
      <c r="G7" s="4" t="s">
        <v>720</v>
      </c>
      <c r="H7" s="7" t="s">
        <v>713</v>
      </c>
    </row>
    <row r="8" customFormat="false" ht="46.25" hidden="false" customHeight="false" outlineLevel="0" collapsed="false">
      <c r="A8" s="4" t="s">
        <v>721</v>
      </c>
      <c r="B8" s="4" t="s">
        <v>722</v>
      </c>
      <c r="C8" s="4" t="s">
        <v>709</v>
      </c>
      <c r="D8" s="4" t="s">
        <v>723</v>
      </c>
      <c r="E8" s="4" t="s">
        <v>724</v>
      </c>
      <c r="F8" s="4" t="s">
        <v>725</v>
      </c>
      <c r="G8" s="4" t="s">
        <v>726</v>
      </c>
      <c r="H8" s="7" t="s">
        <v>727</v>
      </c>
    </row>
    <row r="9" customFormat="false" ht="35.05" hidden="false" customHeight="false" outlineLevel="0" collapsed="false">
      <c r="A9" s="4" t="s">
        <v>728</v>
      </c>
      <c r="B9" s="4" t="s">
        <v>729</v>
      </c>
      <c r="C9" s="4" t="s">
        <v>730</v>
      </c>
      <c r="D9" s="4" t="s">
        <v>731</v>
      </c>
      <c r="E9" s="4" t="s">
        <v>732</v>
      </c>
      <c r="F9" s="4" t="s">
        <v>733</v>
      </c>
      <c r="G9" s="4" t="s">
        <v>734</v>
      </c>
      <c r="H9" s="7" t="s">
        <v>735</v>
      </c>
    </row>
    <row r="10" customFormat="false" ht="46.25" hidden="false" customHeight="false" outlineLevel="0" collapsed="false">
      <c r="A10" s="4" t="s">
        <v>736</v>
      </c>
      <c r="B10" s="4" t="s">
        <v>737</v>
      </c>
      <c r="C10" s="4" t="s">
        <v>738</v>
      </c>
      <c r="D10" s="4" t="s">
        <v>739</v>
      </c>
      <c r="E10" s="4" t="s">
        <v>740</v>
      </c>
      <c r="F10" s="4" t="s">
        <v>102</v>
      </c>
      <c r="G10" s="4" t="s">
        <v>741</v>
      </c>
      <c r="H10" s="7" t="s">
        <v>742</v>
      </c>
    </row>
    <row r="11" customFormat="false" ht="35.05" hidden="false" customHeight="false" outlineLevel="0" collapsed="false">
      <c r="A11" s="4" t="s">
        <v>743</v>
      </c>
      <c r="B11" s="4" t="s">
        <v>744</v>
      </c>
      <c r="C11" s="4" t="s">
        <v>745</v>
      </c>
      <c r="D11" s="4" t="s">
        <v>746</v>
      </c>
      <c r="E11" s="4" t="s">
        <v>747</v>
      </c>
      <c r="F11" s="4" t="s">
        <v>748</v>
      </c>
      <c r="G11" s="4" t="s">
        <v>749</v>
      </c>
      <c r="H11" s="7" t="s">
        <v>750</v>
      </c>
    </row>
  </sheetData>
  <autoFilter ref="A1:H11"/>
  <hyperlinks>
    <hyperlink ref="H2" r:id="rId1" display="https://ich.unesco.org/en/RL/ong-chun-wangchuan-wangkang-ceremony-rituals-and-related-practices-for-maintaining-the-sustainable-connection-between-man-and-the-ocean-01608"/>
    <hyperlink ref="H3" r:id="rId2" display="https://ich.unesco.org/en/RL/urtiin-duu-traditional-folk-long-song-00115"/>
    <hyperlink ref="H4" r:id="rId3" display="https://ich.unesco.org/en/RL/mongolian-art-of-singing-khoomei-00210 ; https://ich.unesco.org/en/RL/mongolian-traditional-art-of-khoomei-00396"/>
    <hyperlink ref="H5" r:id="rId4" display="https://ich.unesco.org/en/state/china-CN?info=elements-on-the-lists"/>
    <hyperlink ref="H6" r:id="rId5" display="https://ich.unesco.org/en/state/china-CN?info=elements-on-the-lists"/>
    <hyperlink ref="H7" r:id="rId6" display="https://ich.unesco.org/en/state/china-CN?info=elements-on-the-lists"/>
    <hyperlink ref="H8" r:id="rId7" display="https://www.unesco.org/en/memory-world/qiaopi-and-yinxin-correspondence-and-remittance-documents-overseas-chinese"/>
    <hyperlink ref="H9" r:id="rId8" display="https://en.unesco.org/silkroad"/>
    <hyperlink ref="H10" r:id="rId9" display="https://southsouth-galaxy.org/solution/safeguarding-world-heritage-along-the-silk-roads/"/>
    <hyperlink ref="H11" r:id="rId10" display="https://whitrap.pku.edu.cn/About_us/Introduction_Center.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6"/>
    <col collapsed="false" customWidth="true" hidden="false" outlineLevel="0" max="3" min="3" style="0" width="8"/>
    <col collapsed="false" customWidth="true" hidden="false" outlineLevel="0" max="4" min="4" style="0" width="50"/>
  </cols>
  <sheetData>
    <row r="1" customFormat="false" ht="31.5" hidden="false" customHeight="true" outlineLevel="0" collapsed="false">
      <c r="A1" s="5" t="s">
        <v>751</v>
      </c>
      <c r="B1" s="5" t="s">
        <v>752</v>
      </c>
      <c r="C1" s="5" t="s">
        <v>753</v>
      </c>
      <c r="D1" s="5" t="s">
        <v>754</v>
      </c>
    </row>
    <row r="2" customFormat="false" ht="15" hidden="false" customHeight="false" outlineLevel="0" collapsed="false">
      <c r="A2" s="4" t="s">
        <v>755</v>
      </c>
      <c r="B2" s="4" t="s">
        <v>756</v>
      </c>
      <c r="C2" s="4" t="s">
        <v>255</v>
      </c>
      <c r="D2" s="7" t="s">
        <v>757</v>
      </c>
    </row>
    <row r="3" customFormat="false" ht="15" hidden="false" customHeight="false" outlineLevel="0" collapsed="false">
      <c r="A3" s="4" t="s">
        <v>758</v>
      </c>
      <c r="B3" s="4" t="s">
        <v>759</v>
      </c>
      <c r="C3" s="4" t="s">
        <v>255</v>
      </c>
      <c r="D3" s="7" t="s">
        <v>760</v>
      </c>
    </row>
    <row r="4" customFormat="false" ht="15" hidden="false" customHeight="false" outlineLevel="0" collapsed="false">
      <c r="A4" s="4" t="s">
        <v>761</v>
      </c>
      <c r="B4" s="4" t="s">
        <v>762</v>
      </c>
      <c r="C4" s="4" t="s">
        <v>255</v>
      </c>
      <c r="D4" s="7" t="s">
        <v>763</v>
      </c>
    </row>
    <row r="5" customFormat="false" ht="15" hidden="false" customHeight="false" outlineLevel="0" collapsed="false">
      <c r="A5" s="4" t="s">
        <v>764</v>
      </c>
      <c r="B5" s="4" t="s">
        <v>765</v>
      </c>
      <c r="C5" s="4" t="s">
        <v>255</v>
      </c>
      <c r="D5" s="7" t="s">
        <v>766</v>
      </c>
    </row>
    <row r="6" customFormat="false" ht="15" hidden="false" customHeight="false" outlineLevel="0" collapsed="false">
      <c r="A6" s="4" t="s">
        <v>767</v>
      </c>
      <c r="B6" s="4" t="s">
        <v>768</v>
      </c>
      <c r="C6" s="4" t="s">
        <v>769</v>
      </c>
      <c r="D6" s="7" t="s">
        <v>770</v>
      </c>
    </row>
    <row r="7" customFormat="false" ht="15" hidden="false" customHeight="false" outlineLevel="0" collapsed="false">
      <c r="A7" s="4" t="s">
        <v>771</v>
      </c>
      <c r="B7" s="4" t="s">
        <v>768</v>
      </c>
      <c r="C7" s="4" t="s">
        <v>772</v>
      </c>
      <c r="D7" s="7" t="s">
        <v>773</v>
      </c>
    </row>
    <row r="8" customFormat="false" ht="15" hidden="false" customHeight="false" outlineLevel="0" collapsed="false">
      <c r="A8" s="4" t="s">
        <v>774</v>
      </c>
      <c r="B8" s="4" t="s">
        <v>768</v>
      </c>
      <c r="C8" s="4" t="s">
        <v>775</v>
      </c>
      <c r="D8" s="7" t="s">
        <v>776</v>
      </c>
    </row>
    <row r="9" customFormat="false" ht="15" hidden="false" customHeight="false" outlineLevel="0" collapsed="false">
      <c r="A9" s="4" t="s">
        <v>777</v>
      </c>
      <c r="B9" s="4" t="s">
        <v>768</v>
      </c>
      <c r="C9" s="4" t="s">
        <v>778</v>
      </c>
      <c r="D9" s="7" t="s">
        <v>779</v>
      </c>
    </row>
    <row r="10" customFormat="false" ht="15" hidden="false" customHeight="false" outlineLevel="0" collapsed="false">
      <c r="A10" s="4" t="s">
        <v>780</v>
      </c>
      <c r="B10" s="4" t="s">
        <v>768</v>
      </c>
      <c r="C10" s="4" t="s">
        <v>781</v>
      </c>
      <c r="D10" s="7" t="s">
        <v>782</v>
      </c>
    </row>
    <row r="11" customFormat="false" ht="15" hidden="false" customHeight="false" outlineLevel="0" collapsed="false">
      <c r="A11" s="4" t="s">
        <v>783</v>
      </c>
      <c r="B11" s="4" t="s">
        <v>768</v>
      </c>
      <c r="C11" s="4" t="s">
        <v>784</v>
      </c>
      <c r="D11" s="7" t="s">
        <v>785</v>
      </c>
    </row>
    <row r="12" customFormat="false" ht="15" hidden="false" customHeight="false" outlineLevel="0" collapsed="false">
      <c r="A12" s="4" t="s">
        <v>786</v>
      </c>
      <c r="B12" s="4" t="s">
        <v>787</v>
      </c>
      <c r="C12" s="4" t="s">
        <v>769</v>
      </c>
      <c r="D12" s="7" t="s">
        <v>788</v>
      </c>
    </row>
    <row r="13" customFormat="false" ht="15" hidden="false" customHeight="false" outlineLevel="0" collapsed="false">
      <c r="A13" s="4" t="s">
        <v>789</v>
      </c>
      <c r="B13" s="4" t="s">
        <v>787</v>
      </c>
      <c r="C13" s="4" t="s">
        <v>769</v>
      </c>
      <c r="D13" s="7" t="s">
        <v>790</v>
      </c>
    </row>
    <row r="14" customFormat="false" ht="15" hidden="false" customHeight="false" outlineLevel="0" collapsed="false">
      <c r="A14" s="4" t="s">
        <v>791</v>
      </c>
      <c r="B14" s="4" t="s">
        <v>792</v>
      </c>
      <c r="C14" s="4" t="s">
        <v>781</v>
      </c>
      <c r="D14" s="7" t="s">
        <v>793</v>
      </c>
    </row>
    <row r="15" customFormat="false" ht="15" hidden="false" customHeight="false" outlineLevel="0" collapsed="false">
      <c r="A15" s="4" t="s">
        <v>794</v>
      </c>
      <c r="B15" s="4" t="s">
        <v>795</v>
      </c>
      <c r="C15" s="4" t="s">
        <v>346</v>
      </c>
      <c r="D15" s="7" t="s">
        <v>796</v>
      </c>
    </row>
    <row r="16" customFormat="false" ht="15" hidden="false" customHeight="false" outlineLevel="0" collapsed="false">
      <c r="A16" s="4" t="s">
        <v>797</v>
      </c>
      <c r="B16" s="4" t="s">
        <v>795</v>
      </c>
      <c r="C16" s="4" t="s">
        <v>687</v>
      </c>
      <c r="D16" s="7" t="s">
        <v>798</v>
      </c>
    </row>
    <row r="17" customFormat="false" ht="15" hidden="false" customHeight="false" outlineLevel="0" collapsed="false">
      <c r="A17" s="4" t="s">
        <v>799</v>
      </c>
      <c r="B17" s="4" t="s">
        <v>795</v>
      </c>
      <c r="C17" s="4" t="s">
        <v>775</v>
      </c>
      <c r="D17" s="7" t="s">
        <v>800</v>
      </c>
    </row>
    <row r="18" customFormat="false" ht="15" hidden="false" customHeight="false" outlineLevel="0" collapsed="false">
      <c r="A18" s="4" t="s">
        <v>799</v>
      </c>
      <c r="B18" s="4" t="s">
        <v>795</v>
      </c>
      <c r="C18" s="4" t="s">
        <v>772</v>
      </c>
      <c r="D18" s="7" t="s">
        <v>801</v>
      </c>
    </row>
    <row r="19" customFormat="false" ht="15" hidden="false" customHeight="false" outlineLevel="0" collapsed="false">
      <c r="A19" s="4" t="s">
        <v>802</v>
      </c>
      <c r="B19" s="4" t="s">
        <v>795</v>
      </c>
      <c r="C19" s="4" t="s">
        <v>772</v>
      </c>
      <c r="D19" s="7" t="s">
        <v>803</v>
      </c>
    </row>
    <row r="20" customFormat="false" ht="15" hidden="false" customHeight="false" outlineLevel="0" collapsed="false">
      <c r="A20" s="4" t="s">
        <v>799</v>
      </c>
      <c r="B20" s="4" t="s">
        <v>795</v>
      </c>
      <c r="C20" s="4" t="s">
        <v>769</v>
      </c>
      <c r="D20" s="7" t="s">
        <v>804</v>
      </c>
    </row>
    <row r="21" customFormat="false" ht="15" hidden="false" customHeight="false" outlineLevel="0" collapsed="false">
      <c r="A21" s="4" t="s">
        <v>805</v>
      </c>
      <c r="B21" s="4" t="s">
        <v>795</v>
      </c>
      <c r="C21" s="4" t="s">
        <v>769</v>
      </c>
      <c r="D21" s="7" t="s">
        <v>806</v>
      </c>
    </row>
    <row r="22" customFormat="false" ht="15" hidden="false" customHeight="false" outlineLevel="0" collapsed="false">
      <c r="A22" s="4" t="s">
        <v>807</v>
      </c>
      <c r="B22" s="4" t="s">
        <v>795</v>
      </c>
      <c r="C22" s="4" t="s">
        <v>808</v>
      </c>
      <c r="D22" s="7" t="s">
        <v>809</v>
      </c>
    </row>
  </sheetData>
  <autoFilter ref="A1:D22"/>
  <hyperlinks>
    <hyperlink ref="D2" r:id="rId1" display="https://whc.unesco.org/uploads/nominations/1442.pdf"/>
    <hyperlink ref="D3" r:id="rId2" display="https://whc.unesco.org/document/152690"/>
    <hyperlink ref="D4" r:id="rId3" display="https://whc.unesco.org/document/132728"/>
    <hyperlink ref="D5" r:id="rId4" display="https://whc.unesco.org/en/decisions/6110"/>
    <hyperlink ref="D6" r:id="rId5" display="https://whc.unesco.org/en/decisions/6699"/>
    <hyperlink ref="D7" r:id="rId6" display="https://whc.unesco.org/en/decisions/7087"/>
    <hyperlink ref="D8" r:id="rId7" display="https://whc.unesco.org/en/decisions/7234"/>
    <hyperlink ref="D9" r:id="rId8" display="https://whc.unesco.org/en/decisions/7740"/>
    <hyperlink ref="D10" r:id="rId9" display="https://whc.unesco.org/en/decisions/8160"/>
    <hyperlink ref="D11" r:id="rId10" display="https://whc.unesco.org/en/decisions/8791"/>
    <hyperlink ref="D12" r:id="rId11" display="https://whc.unesco.org/document/142401"/>
    <hyperlink ref="D13" r:id="rId12" display="https://whc.unesco.org/document/158586"/>
    <hyperlink ref="D14" r:id="rId13" display="https://whc.unesco.org/document/217919"/>
    <hyperlink ref="D15" r:id="rId14" display="https://whc.unesco.org/document/218280"/>
    <hyperlink ref="D16" r:id="rId15" display="https://whc.unesco.org/document/180694"/>
    <hyperlink ref="D17" r:id="rId16" display="https://whc.unesco.org/document/166338"/>
    <hyperlink ref="D18" r:id="rId17" display="https://whc.unesco.org/document/156862"/>
    <hyperlink ref="D19" r:id="rId18" display="https://whc.unesco.org/document/165239"/>
    <hyperlink ref="D20" r:id="rId19" display="https://whc.unesco.org/document/139846"/>
    <hyperlink ref="D21" r:id="rId20" display="https://whc.unesco.org/document/139897"/>
    <hyperlink ref="D22" r:id="rId21" display="https://whc.unesco.org/document/1398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2"/>
    <col collapsed="false" customWidth="true" hidden="false" outlineLevel="0" max="3" min="3" style="0" width="16"/>
    <col collapsed="false" customWidth="true" hidden="false" outlineLevel="0" max="4" min="4" style="0" width="50"/>
    <col collapsed="false" customWidth="true" hidden="false" outlineLevel="0" max="5" min="5" style="0" width="70"/>
  </cols>
  <sheetData>
    <row r="1" customFormat="false" ht="31.5" hidden="false" customHeight="true" outlineLevel="0" collapsed="false">
      <c r="A1" s="5" t="s">
        <v>810</v>
      </c>
      <c r="B1" s="5" t="s">
        <v>754</v>
      </c>
      <c r="C1" s="5" t="s">
        <v>811</v>
      </c>
      <c r="D1" s="5" t="s">
        <v>812</v>
      </c>
      <c r="E1" s="5" t="s">
        <v>813</v>
      </c>
    </row>
    <row r="2" customFormat="false" ht="57.45" hidden="false" customHeight="false" outlineLevel="0" collapsed="false">
      <c r="A2" s="4" t="s">
        <v>814</v>
      </c>
      <c r="B2" s="7" t="s">
        <v>815</v>
      </c>
      <c r="C2" s="4" t="s">
        <v>816</v>
      </c>
      <c r="D2" s="4" t="s">
        <v>817</v>
      </c>
      <c r="E2" s="4" t="s">
        <v>818</v>
      </c>
    </row>
    <row r="3" customFormat="false" ht="35.05" hidden="false" customHeight="false" outlineLevel="0" collapsed="false">
      <c r="A3" s="4" t="s">
        <v>819</v>
      </c>
      <c r="B3" s="7" t="s">
        <v>820</v>
      </c>
      <c r="C3" s="4" t="s">
        <v>816</v>
      </c>
      <c r="D3" s="4" t="s">
        <v>821</v>
      </c>
      <c r="E3" s="4" t="s">
        <v>822</v>
      </c>
    </row>
    <row r="4" customFormat="false" ht="23.85" hidden="false" customHeight="false" outlineLevel="0" collapsed="false">
      <c r="A4" s="4" t="s">
        <v>823</v>
      </c>
      <c r="B4" s="7" t="s">
        <v>824</v>
      </c>
      <c r="C4" s="4" t="s">
        <v>816</v>
      </c>
      <c r="D4" s="4" t="s">
        <v>825</v>
      </c>
      <c r="E4" s="4" t="s">
        <v>826</v>
      </c>
    </row>
    <row r="5" customFormat="false" ht="35.05" hidden="false" customHeight="false" outlineLevel="0" collapsed="false">
      <c r="A5" s="4" t="s">
        <v>827</v>
      </c>
      <c r="B5" s="7" t="s">
        <v>517</v>
      </c>
      <c r="C5" s="4" t="s">
        <v>828</v>
      </c>
      <c r="D5" s="4" t="s">
        <v>829</v>
      </c>
      <c r="E5" s="4" t="s">
        <v>830</v>
      </c>
    </row>
    <row r="6" customFormat="false" ht="23.85" hidden="false" customHeight="false" outlineLevel="0" collapsed="false">
      <c r="A6" s="4" t="s">
        <v>831</v>
      </c>
      <c r="B6" s="7" t="s">
        <v>308</v>
      </c>
      <c r="C6" s="4" t="s">
        <v>832</v>
      </c>
      <c r="D6" s="4" t="s">
        <v>833</v>
      </c>
      <c r="E6" s="4" t="s">
        <v>834</v>
      </c>
    </row>
    <row r="7" customFormat="false" ht="23.85" hidden="false" customHeight="false" outlineLevel="0" collapsed="false">
      <c r="A7" s="4" t="s">
        <v>835</v>
      </c>
      <c r="B7" s="7" t="s">
        <v>836</v>
      </c>
      <c r="C7" s="4" t="s">
        <v>828</v>
      </c>
      <c r="D7" s="4" t="s">
        <v>837</v>
      </c>
      <c r="E7" s="4" t="s">
        <v>838</v>
      </c>
    </row>
    <row r="8" customFormat="false" ht="15" hidden="false" customHeight="false" outlineLevel="0" collapsed="false">
      <c r="A8" s="4" t="s">
        <v>839</v>
      </c>
      <c r="B8" s="7" t="s">
        <v>840</v>
      </c>
      <c r="C8" s="4" t="s">
        <v>828</v>
      </c>
      <c r="D8" s="4" t="s">
        <v>841</v>
      </c>
      <c r="E8" s="4" t="s">
        <v>842</v>
      </c>
    </row>
    <row r="9" customFormat="false" ht="23.85" hidden="false" customHeight="false" outlineLevel="0" collapsed="false">
      <c r="A9" s="4" t="s">
        <v>843</v>
      </c>
      <c r="B9" s="7" t="s">
        <v>713</v>
      </c>
      <c r="C9" s="4" t="s">
        <v>828</v>
      </c>
      <c r="D9" s="4" t="s">
        <v>844</v>
      </c>
      <c r="E9" s="4" t="s">
        <v>845</v>
      </c>
    </row>
    <row r="10" customFormat="false" ht="15" hidden="false" customHeight="false" outlineLevel="0" collapsed="false">
      <c r="A10" s="4" t="s">
        <v>721</v>
      </c>
      <c r="B10" s="7" t="s">
        <v>846</v>
      </c>
      <c r="C10" s="4" t="s">
        <v>828</v>
      </c>
      <c r="D10" s="4" t="s">
        <v>847</v>
      </c>
      <c r="E10" s="4" t="s">
        <v>848</v>
      </c>
    </row>
    <row r="11" customFormat="false" ht="15" hidden="false" customHeight="false" outlineLevel="0" collapsed="false">
      <c r="A11" s="4" t="s">
        <v>849</v>
      </c>
      <c r="B11" s="7" t="s">
        <v>850</v>
      </c>
      <c r="C11" s="4" t="s">
        <v>851</v>
      </c>
      <c r="D11" s="4" t="s">
        <v>852</v>
      </c>
      <c r="E11" s="4" t="s">
        <v>853</v>
      </c>
    </row>
  </sheetData>
  <autoFilter ref="A1:E11"/>
  <hyperlinks>
    <hyperlink ref="B2" r:id="rId1" display="https://whc.unesco.org/en/list/xml/"/>
    <hyperlink ref="B3" r:id="rId2" display="https://whc.unesco.org/zh/list/xml/"/>
    <hyperlink ref="B4" r:id="rId3" display="https://whc.unesco.org/en/syndication"/>
    <hyperlink ref="B5" r:id="rId4" display="https://whc.unesco.org/en/list/1223/"/>
    <hyperlink ref="B6" r:id="rId5" display="https://whc.unesco.org/en/list/1442/documents/"/>
    <hyperlink ref="B7" r:id="rId6" display="https://whc.unesco.org/en/statesparties/cn"/>
    <hyperlink ref="B8" r:id="rId7" display="https://whc.unesco.org/en/decisions/"/>
    <hyperlink ref="B9" r:id="rId8" display="https://ich.unesco.org/en/state/china-CN?info=elements-on-the-lists"/>
    <hyperlink ref="B10" r:id="rId9" display="https://www.unesco.org/en/memory-world"/>
    <hyperlink ref="B11" r:id="rId10" display="https://www.wikidata.or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40"/>
    <col collapsed="false" customWidth="true" hidden="false" outlineLevel="0" max="4" min="4" style="0" width="55"/>
    <col collapsed="false" customWidth="true" hidden="false" outlineLevel="0" max="5" min="5" style="0" width="12"/>
    <col collapsed="false" customWidth="true" hidden="false" outlineLevel="0" max="6" min="6" style="0" width="42"/>
    <col collapsed="false" customWidth="true" hidden="false" outlineLevel="0" max="7" min="7" style="0" width="48"/>
    <col collapsed="false" customWidth="true" hidden="false" outlineLevel="0" max="8" min="8" style="0" width="30"/>
    <col collapsed="false" customWidth="true" hidden="false" outlineLevel="0" max="9" min="9" style="0" width="52"/>
    <col collapsed="false" customWidth="true" hidden="false" outlineLevel="0" max="10" min="10" style="0" width="20"/>
    <col collapsed="false" customWidth="true" hidden="false" outlineLevel="0" max="11" min="11" style="0" width="24"/>
  </cols>
  <sheetData>
    <row r="1" customFormat="false" ht="31.5" hidden="false" customHeight="true" outlineLevel="0" collapsed="false">
      <c r="A1" s="5" t="s">
        <v>810</v>
      </c>
      <c r="B1" s="5" t="s">
        <v>854</v>
      </c>
      <c r="C1" s="5" t="s">
        <v>855</v>
      </c>
      <c r="D1" s="5" t="s">
        <v>856</v>
      </c>
      <c r="E1" s="5" t="s">
        <v>857</v>
      </c>
      <c r="F1" s="5" t="s">
        <v>858</v>
      </c>
      <c r="G1" s="5" t="s">
        <v>859</v>
      </c>
      <c r="H1" s="5" t="s">
        <v>860</v>
      </c>
      <c r="I1" s="5" t="s">
        <v>861</v>
      </c>
      <c r="J1" s="5" t="s">
        <v>862</v>
      </c>
      <c r="K1" s="5" t="s">
        <v>78</v>
      </c>
    </row>
    <row r="2" customFormat="false" ht="52.2" hidden="false" customHeight="false" outlineLevel="0" collapsed="false">
      <c r="A2" s="4" t="s">
        <v>863</v>
      </c>
      <c r="B2" s="4" t="s">
        <v>864</v>
      </c>
      <c r="C2" s="7" t="s">
        <v>865</v>
      </c>
      <c r="D2" s="4" t="s">
        <v>866</v>
      </c>
      <c r="E2" s="4" t="s">
        <v>867</v>
      </c>
      <c r="F2" s="4" t="s">
        <v>868</v>
      </c>
      <c r="G2" s="4" t="s">
        <v>869</v>
      </c>
      <c r="H2" s="4" t="s">
        <v>870</v>
      </c>
      <c r="I2" s="4" t="s">
        <v>871</v>
      </c>
      <c r="J2" s="4" t="s">
        <v>872</v>
      </c>
      <c r="K2" s="8"/>
    </row>
    <row r="3" customFormat="false" ht="35.05" hidden="false" customHeight="false" outlineLevel="0" collapsed="false">
      <c r="A3" s="4" t="s">
        <v>873</v>
      </c>
      <c r="B3" s="4" t="s">
        <v>874</v>
      </c>
      <c r="C3" s="7" t="s">
        <v>875</v>
      </c>
      <c r="D3" s="4" t="s">
        <v>876</v>
      </c>
      <c r="E3" s="4" t="s">
        <v>867</v>
      </c>
      <c r="F3" s="4" t="s">
        <v>877</v>
      </c>
      <c r="G3" s="4" t="s">
        <v>878</v>
      </c>
      <c r="H3" s="4" t="s">
        <v>879</v>
      </c>
      <c r="I3" s="4" t="s">
        <v>880</v>
      </c>
      <c r="J3" s="4" t="s">
        <v>881</v>
      </c>
      <c r="K3" s="8"/>
    </row>
    <row r="4" customFormat="false" ht="35.05" hidden="false" customHeight="false" outlineLevel="0" collapsed="false">
      <c r="A4" s="4" t="s">
        <v>882</v>
      </c>
      <c r="B4" s="4" t="s">
        <v>883</v>
      </c>
      <c r="C4" s="7" t="s">
        <v>884</v>
      </c>
      <c r="D4" s="4" t="s">
        <v>885</v>
      </c>
      <c r="E4" s="4" t="s">
        <v>886</v>
      </c>
      <c r="F4" s="4" t="s">
        <v>887</v>
      </c>
      <c r="G4" s="4" t="s">
        <v>888</v>
      </c>
      <c r="H4" s="4" t="s">
        <v>889</v>
      </c>
      <c r="I4" s="4" t="s">
        <v>890</v>
      </c>
      <c r="J4" s="4" t="s">
        <v>891</v>
      </c>
      <c r="K4" s="8"/>
    </row>
    <row r="5" customFormat="false" ht="49.25" hidden="false" customHeight="false" outlineLevel="0" collapsed="false">
      <c r="A5" s="4" t="s">
        <v>892</v>
      </c>
      <c r="B5" s="4" t="s">
        <v>893</v>
      </c>
      <c r="C5" s="7" t="s">
        <v>894</v>
      </c>
      <c r="D5" s="4" t="s">
        <v>895</v>
      </c>
      <c r="E5" s="4" t="s">
        <v>867</v>
      </c>
      <c r="F5" s="4" t="s">
        <v>896</v>
      </c>
      <c r="G5" s="4" t="s">
        <v>897</v>
      </c>
      <c r="H5" s="4" t="s">
        <v>898</v>
      </c>
      <c r="I5" s="4" t="s">
        <v>899</v>
      </c>
      <c r="J5" s="4" t="s">
        <v>900</v>
      </c>
      <c r="K5" s="8"/>
    </row>
    <row r="6" customFormat="false" ht="57.45" hidden="false" customHeight="false" outlineLevel="0" collapsed="false">
      <c r="A6" s="4" t="s">
        <v>901</v>
      </c>
      <c r="B6" s="4" t="s">
        <v>902</v>
      </c>
      <c r="C6" s="7" t="s">
        <v>903</v>
      </c>
      <c r="D6" s="4" t="s">
        <v>904</v>
      </c>
      <c r="E6" s="4" t="s">
        <v>905</v>
      </c>
      <c r="F6" s="4" t="s">
        <v>906</v>
      </c>
      <c r="G6" s="4" t="s">
        <v>907</v>
      </c>
      <c r="H6" s="4" t="s">
        <v>908</v>
      </c>
      <c r="I6" s="4" t="s">
        <v>909</v>
      </c>
      <c r="J6" s="4" t="s">
        <v>910</v>
      </c>
      <c r="K6" s="8"/>
    </row>
    <row r="7" customFormat="false" ht="35.05" hidden="false" customHeight="false" outlineLevel="0" collapsed="false">
      <c r="A7" s="4" t="s">
        <v>911</v>
      </c>
      <c r="B7" s="4" t="s">
        <v>912</v>
      </c>
      <c r="C7" s="7" t="s">
        <v>913</v>
      </c>
      <c r="D7" s="4" t="s">
        <v>914</v>
      </c>
      <c r="E7" s="4" t="s">
        <v>867</v>
      </c>
      <c r="F7" s="4" t="s">
        <v>915</v>
      </c>
      <c r="G7" s="4" t="s">
        <v>916</v>
      </c>
      <c r="H7" s="4" t="s">
        <v>917</v>
      </c>
      <c r="I7" s="4" t="s">
        <v>918</v>
      </c>
      <c r="J7" s="4" t="s">
        <v>919</v>
      </c>
      <c r="K7" s="8"/>
    </row>
    <row r="8" customFormat="false" ht="38.05" hidden="false" customHeight="false" outlineLevel="0" collapsed="false">
      <c r="A8" s="4" t="s">
        <v>920</v>
      </c>
      <c r="B8" s="4" t="s">
        <v>921</v>
      </c>
      <c r="C8" s="7" t="s">
        <v>922</v>
      </c>
      <c r="D8" s="4" t="s">
        <v>923</v>
      </c>
      <c r="E8" s="4" t="s">
        <v>867</v>
      </c>
      <c r="F8" s="4" t="s">
        <v>924</v>
      </c>
      <c r="G8" s="4" t="s">
        <v>925</v>
      </c>
      <c r="H8" s="4" t="s">
        <v>926</v>
      </c>
      <c r="I8" s="4" t="s">
        <v>927</v>
      </c>
      <c r="J8" s="4" t="s">
        <v>928</v>
      </c>
      <c r="K8" s="8"/>
    </row>
    <row r="9" customFormat="false" ht="46.25" hidden="false" customHeight="false" outlineLevel="0" collapsed="false">
      <c r="A9" s="4" t="s">
        <v>929</v>
      </c>
      <c r="B9" s="4" t="s">
        <v>930</v>
      </c>
      <c r="C9" s="7" t="s">
        <v>931</v>
      </c>
      <c r="D9" s="4" t="s">
        <v>932</v>
      </c>
      <c r="E9" s="4" t="s">
        <v>933</v>
      </c>
      <c r="F9" s="4" t="s">
        <v>934</v>
      </c>
      <c r="G9" s="4" t="s">
        <v>935</v>
      </c>
      <c r="H9" s="4" t="s">
        <v>936</v>
      </c>
      <c r="I9" s="4" t="s">
        <v>937</v>
      </c>
      <c r="J9" s="4" t="s">
        <v>938</v>
      </c>
      <c r="K9" s="8"/>
    </row>
    <row r="10" customFormat="false" ht="57.45" hidden="false" customHeight="false" outlineLevel="0" collapsed="false">
      <c r="A10" s="4" t="s">
        <v>939</v>
      </c>
      <c r="B10" s="4" t="s">
        <v>940</v>
      </c>
      <c r="C10" s="7" t="s">
        <v>941</v>
      </c>
      <c r="D10" s="4" t="s">
        <v>942</v>
      </c>
      <c r="E10" s="4" t="s">
        <v>943</v>
      </c>
      <c r="F10" s="4" t="s">
        <v>944</v>
      </c>
      <c r="G10" s="4" t="s">
        <v>945</v>
      </c>
      <c r="H10" s="4" t="s">
        <v>946</v>
      </c>
      <c r="I10" s="4" t="s">
        <v>947</v>
      </c>
      <c r="J10" s="4" t="s">
        <v>948</v>
      </c>
      <c r="K10" s="8"/>
    </row>
    <row r="11" customFormat="false" ht="26.85" hidden="false" customHeight="false" outlineLevel="0" collapsed="false">
      <c r="A11" s="4" t="s">
        <v>949</v>
      </c>
      <c r="B11" s="4" t="s">
        <v>950</v>
      </c>
      <c r="C11" s="7" t="s">
        <v>951</v>
      </c>
      <c r="D11" s="4" t="s">
        <v>952</v>
      </c>
      <c r="E11" s="4" t="s">
        <v>943</v>
      </c>
      <c r="F11" s="4" t="s">
        <v>953</v>
      </c>
      <c r="G11" s="4" t="s">
        <v>954</v>
      </c>
      <c r="H11" s="4" t="s">
        <v>955</v>
      </c>
      <c r="I11" s="4" t="s">
        <v>956</v>
      </c>
      <c r="J11" s="4" t="s">
        <v>957</v>
      </c>
      <c r="K11" s="8"/>
    </row>
    <row r="12" customFormat="false" ht="57.45" hidden="false" customHeight="false" outlineLevel="0" collapsed="false">
      <c r="A12" s="4" t="s">
        <v>958</v>
      </c>
      <c r="B12" s="4" t="s">
        <v>959</v>
      </c>
      <c r="C12" s="7" t="s">
        <v>960</v>
      </c>
      <c r="D12" s="4" t="s">
        <v>961</v>
      </c>
      <c r="E12" s="4" t="s">
        <v>867</v>
      </c>
      <c r="F12" s="4" t="s">
        <v>962</v>
      </c>
      <c r="G12" s="4" t="s">
        <v>963</v>
      </c>
      <c r="H12" s="4" t="s">
        <v>964</v>
      </c>
      <c r="I12" s="4" t="s">
        <v>965</v>
      </c>
      <c r="J12" s="4" t="s">
        <v>966</v>
      </c>
      <c r="K12" s="8"/>
    </row>
    <row r="13" customFormat="false" ht="26.85" hidden="false" customHeight="false" outlineLevel="0" collapsed="false">
      <c r="A13" s="4" t="s">
        <v>967</v>
      </c>
      <c r="B13" s="4" t="s">
        <v>968</v>
      </c>
      <c r="C13" s="7" t="s">
        <v>969</v>
      </c>
      <c r="D13" s="4" t="s">
        <v>970</v>
      </c>
      <c r="E13" s="4" t="s">
        <v>867</v>
      </c>
      <c r="F13" s="4" t="s">
        <v>971</v>
      </c>
      <c r="G13" s="4" t="s">
        <v>972</v>
      </c>
      <c r="H13" s="4" t="s">
        <v>973</v>
      </c>
      <c r="I13" s="4" t="s">
        <v>974</v>
      </c>
      <c r="J13" s="4" t="s">
        <v>975</v>
      </c>
      <c r="K13" s="8"/>
    </row>
  </sheetData>
  <autoFilter ref="A1:K13"/>
  <hyperlinks>
    <hyperlink ref="C2" r:id="rId1" display="http://www.ncha.gov.cn/"/>
    <hyperlink ref="C3" r:id="rId2" display="http://www.ncha.gov.cn/art/2026/7/29/art_2318_48456.html"/>
    <hyperlink ref="C4" r:id="rId3" display="https://www.mct.gov.cn/"/>
    <hyperlink ref="C5" r:id="rId4" display="https://www.ihchina.cn/project.html"/>
    <hyperlink ref="C6" r:id="rId5" display="https://kh.china-embassy.gov.cn/"/>
    <hyperlink ref="C7" r:id="rId6" display="https://www.chinanews.com.cn/gj/2022/08-29/9839659.shtml"/>
    <hyperlink ref="C8" r:id="rId7" display="https://www.cssn.cn/skgz/bwyc/202605/t20260522_5992725.shtml"/>
    <hyperlink ref="C9" r:id="rId8" display="https://www.chinanews.com.cn/sh/2026/09-24/10703295.shtml"/>
    <hyperlink ref="C10" r:id="rId9" display="https://english.www.gov.cn/news/202304/25/content_WS6447673dc6d03ffcca6ec9ee.html"/>
    <hyperlink ref="C11" r:id="rId10" display="https://www.yidaiyilu.gov.cn/"/>
    <hyperlink ref="C12" r:id="rId11" display="https://hqhryj.jnu.edu.cn/5535/list.htm"/>
    <hyperlink ref="C13" r:id="rId12" display="https://www.cnki.n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18"/>
    <col collapsed="false" customWidth="true" hidden="false" outlineLevel="0" max="4" min="4" style="0" width="30"/>
    <col collapsed="false" customWidth="true" hidden="false" outlineLevel="0" max="6" min="5" style="0" width="60"/>
    <col collapsed="false" customWidth="true" hidden="false" outlineLevel="0" max="7" min="7" style="0" width="26"/>
    <col collapsed="false" customWidth="true" hidden="false" outlineLevel="0" max="8" min="8" style="0" width="44"/>
  </cols>
  <sheetData>
    <row r="1" customFormat="false" ht="31.5" hidden="false" customHeight="true" outlineLevel="0" collapsed="false">
      <c r="A1" s="5" t="s">
        <v>976</v>
      </c>
      <c r="B1" s="5" t="s">
        <v>977</v>
      </c>
      <c r="C1" s="5" t="s">
        <v>978</v>
      </c>
      <c r="D1" s="5" t="s">
        <v>979</v>
      </c>
      <c r="E1" s="5" t="s">
        <v>980</v>
      </c>
      <c r="F1" s="5" t="s">
        <v>981</v>
      </c>
      <c r="G1" s="5" t="s">
        <v>982</v>
      </c>
      <c r="H1" s="5" t="s">
        <v>810</v>
      </c>
    </row>
    <row r="2" customFormat="false" ht="44" hidden="false" customHeight="false" outlineLevel="0" collapsed="false">
      <c r="A2" s="4" t="s">
        <v>983</v>
      </c>
      <c r="B2" s="4" t="s">
        <v>984</v>
      </c>
      <c r="C2" s="4" t="s">
        <v>985</v>
      </c>
      <c r="D2" s="4" t="s">
        <v>986</v>
      </c>
      <c r="E2" s="6" t="s">
        <v>987</v>
      </c>
      <c r="F2" s="4" t="s">
        <v>988</v>
      </c>
      <c r="G2" s="4" t="s">
        <v>989</v>
      </c>
      <c r="H2" s="7" t="s">
        <v>990</v>
      </c>
    </row>
    <row r="3" customFormat="false" ht="29.85" hidden="false" customHeight="false" outlineLevel="0" collapsed="false">
      <c r="A3" s="4" t="s">
        <v>983</v>
      </c>
      <c r="B3" s="4" t="s">
        <v>984</v>
      </c>
      <c r="C3" s="4" t="s">
        <v>985</v>
      </c>
      <c r="D3" s="4" t="s">
        <v>991</v>
      </c>
      <c r="E3" s="6" t="s">
        <v>992</v>
      </c>
      <c r="F3" s="4" t="s">
        <v>993</v>
      </c>
      <c r="G3" s="4" t="s">
        <v>994</v>
      </c>
      <c r="H3" s="7" t="s">
        <v>990</v>
      </c>
    </row>
    <row r="4" customFormat="false" ht="35.05" hidden="false" customHeight="false" outlineLevel="0" collapsed="false">
      <c r="A4" s="4" t="s">
        <v>995</v>
      </c>
      <c r="B4" s="4" t="s">
        <v>996</v>
      </c>
      <c r="C4" s="4" t="s">
        <v>985</v>
      </c>
      <c r="D4" s="4" t="s">
        <v>997</v>
      </c>
      <c r="E4" s="6" t="s">
        <v>998</v>
      </c>
      <c r="F4" s="4" t="s">
        <v>999</v>
      </c>
      <c r="G4" s="4" t="s">
        <v>1000</v>
      </c>
      <c r="H4" s="7" t="s">
        <v>1001</v>
      </c>
    </row>
    <row r="5" customFormat="false" ht="23.85" hidden="false" customHeight="false" outlineLevel="0" collapsed="false">
      <c r="A5" s="4" t="s">
        <v>1002</v>
      </c>
      <c r="B5" s="4" t="s">
        <v>1003</v>
      </c>
      <c r="C5" s="4" t="s">
        <v>985</v>
      </c>
      <c r="D5" s="4" t="s">
        <v>1004</v>
      </c>
      <c r="E5" s="6" t="s">
        <v>1005</v>
      </c>
      <c r="F5" s="4" t="s">
        <v>1006</v>
      </c>
      <c r="G5" s="4" t="s">
        <v>1007</v>
      </c>
      <c r="H5" s="7" t="s">
        <v>1008</v>
      </c>
    </row>
    <row r="6" customFormat="false" ht="35.05" hidden="false" customHeight="false" outlineLevel="0" collapsed="false">
      <c r="A6" s="4" t="s">
        <v>1009</v>
      </c>
      <c r="B6" s="4" t="s">
        <v>1010</v>
      </c>
      <c r="C6" s="4" t="s">
        <v>985</v>
      </c>
      <c r="D6" s="4" t="s">
        <v>1011</v>
      </c>
      <c r="E6" s="6" t="s">
        <v>1012</v>
      </c>
      <c r="F6" s="4" t="s">
        <v>1013</v>
      </c>
      <c r="G6" s="4" t="s">
        <v>1014</v>
      </c>
      <c r="H6" s="7" t="s">
        <v>1015</v>
      </c>
    </row>
    <row r="7" customFormat="false" ht="35.05" hidden="false" customHeight="false" outlineLevel="0" collapsed="false">
      <c r="A7" s="4" t="s">
        <v>1016</v>
      </c>
      <c r="B7" s="4" t="s">
        <v>1017</v>
      </c>
      <c r="C7" s="4" t="s">
        <v>985</v>
      </c>
      <c r="D7" s="4" t="s">
        <v>1018</v>
      </c>
      <c r="E7" s="6" t="s">
        <v>1019</v>
      </c>
      <c r="F7" s="4" t="s">
        <v>1020</v>
      </c>
      <c r="G7" s="4" t="s">
        <v>1021</v>
      </c>
      <c r="H7" s="7" t="s">
        <v>875</v>
      </c>
    </row>
    <row r="8" customFormat="false" ht="29.85" hidden="false" customHeight="false" outlineLevel="0" collapsed="false">
      <c r="A8" s="4" t="s">
        <v>1016</v>
      </c>
      <c r="B8" s="4" t="s">
        <v>1017</v>
      </c>
      <c r="C8" s="4" t="s">
        <v>985</v>
      </c>
      <c r="D8" s="4" t="s">
        <v>1022</v>
      </c>
      <c r="E8" s="6" t="s">
        <v>1023</v>
      </c>
      <c r="F8" s="4" t="s">
        <v>1024</v>
      </c>
      <c r="G8" s="4" t="s">
        <v>1025</v>
      </c>
      <c r="H8" s="7" t="s">
        <v>875</v>
      </c>
    </row>
    <row r="9" customFormat="false" ht="35.05" hidden="false" customHeight="false" outlineLevel="0" collapsed="false">
      <c r="A9" s="4" t="s">
        <v>1016</v>
      </c>
      <c r="B9" s="4" t="s">
        <v>1017</v>
      </c>
      <c r="C9" s="4" t="s">
        <v>985</v>
      </c>
      <c r="D9" s="4" t="s">
        <v>997</v>
      </c>
      <c r="E9" s="6" t="s">
        <v>1026</v>
      </c>
      <c r="F9" s="4" t="s">
        <v>1027</v>
      </c>
      <c r="G9" s="4" t="s">
        <v>1028</v>
      </c>
      <c r="H9" s="7" t="s">
        <v>875</v>
      </c>
    </row>
    <row r="10" customFormat="false" ht="35.05" hidden="false" customHeight="false" outlineLevel="0" collapsed="false">
      <c r="A10" s="4" t="s">
        <v>1016</v>
      </c>
      <c r="B10" s="4" t="s">
        <v>1017</v>
      </c>
      <c r="C10" s="4" t="s">
        <v>985</v>
      </c>
      <c r="D10" s="4" t="s">
        <v>1029</v>
      </c>
      <c r="E10" s="6" t="s">
        <v>1030</v>
      </c>
      <c r="F10" s="4" t="s">
        <v>1031</v>
      </c>
      <c r="G10" s="4" t="s">
        <v>1032</v>
      </c>
      <c r="H10" s="7" t="s">
        <v>875</v>
      </c>
    </row>
    <row r="11" customFormat="false" ht="29.85" hidden="false" customHeight="false" outlineLevel="0" collapsed="false">
      <c r="A11" s="4" t="s">
        <v>1016</v>
      </c>
      <c r="B11" s="4" t="s">
        <v>1017</v>
      </c>
      <c r="C11" s="4" t="s">
        <v>985</v>
      </c>
      <c r="D11" s="4" t="s">
        <v>1033</v>
      </c>
      <c r="E11" s="6" t="s">
        <v>1034</v>
      </c>
      <c r="F11" s="4" t="s">
        <v>1035</v>
      </c>
      <c r="G11" s="4" t="s">
        <v>1036</v>
      </c>
      <c r="H11" s="7" t="s">
        <v>875</v>
      </c>
    </row>
    <row r="12" customFormat="false" ht="29.85" hidden="false" customHeight="false" outlineLevel="0" collapsed="false">
      <c r="A12" s="4" t="s">
        <v>1037</v>
      </c>
      <c r="B12" s="4" t="s">
        <v>1038</v>
      </c>
      <c r="C12" s="4" t="s">
        <v>985</v>
      </c>
      <c r="D12" s="4" t="s">
        <v>1039</v>
      </c>
      <c r="E12" s="6" t="s">
        <v>1040</v>
      </c>
      <c r="F12" s="4" t="s">
        <v>1041</v>
      </c>
      <c r="G12" s="4" t="s">
        <v>1042</v>
      </c>
      <c r="H12" s="7" t="s">
        <v>931</v>
      </c>
    </row>
    <row r="13" customFormat="false" ht="35.05" hidden="false" customHeight="false" outlineLevel="0" collapsed="false">
      <c r="A13" s="4" t="s">
        <v>1043</v>
      </c>
      <c r="B13" s="4" t="s">
        <v>1044</v>
      </c>
      <c r="C13" s="4" t="s">
        <v>1045</v>
      </c>
      <c r="D13" s="4" t="s">
        <v>1046</v>
      </c>
      <c r="E13" s="6" t="s">
        <v>1047</v>
      </c>
      <c r="F13" s="4" t="s">
        <v>1048</v>
      </c>
      <c r="G13" s="4" t="s">
        <v>1049</v>
      </c>
      <c r="H13" s="7" t="s">
        <v>922</v>
      </c>
    </row>
    <row r="14" customFormat="false" ht="29.85" hidden="false" customHeight="false" outlineLevel="0" collapsed="false">
      <c r="A14" s="4" t="s">
        <v>1050</v>
      </c>
      <c r="B14" s="4" t="s">
        <v>1051</v>
      </c>
      <c r="C14" s="4" t="s">
        <v>1052</v>
      </c>
      <c r="D14" s="4" t="s">
        <v>1053</v>
      </c>
      <c r="E14" s="6" t="s">
        <v>1054</v>
      </c>
      <c r="F14" s="4" t="s">
        <v>1055</v>
      </c>
      <c r="G14" s="4" t="s">
        <v>1056</v>
      </c>
      <c r="H14" s="7" t="s">
        <v>1057</v>
      </c>
    </row>
    <row r="15" customFormat="false" ht="35.05" hidden="false" customHeight="false" outlineLevel="0" collapsed="false">
      <c r="A15" s="4" t="s">
        <v>1058</v>
      </c>
      <c r="B15" s="4" t="s">
        <v>1059</v>
      </c>
      <c r="C15" s="4" t="s">
        <v>1052</v>
      </c>
      <c r="D15" s="4" t="s">
        <v>1060</v>
      </c>
      <c r="E15" s="6" t="s">
        <v>1061</v>
      </c>
      <c r="F15" s="4" t="s">
        <v>1062</v>
      </c>
      <c r="G15" s="4" t="s">
        <v>1063</v>
      </c>
      <c r="H15" s="7" t="s">
        <v>1064</v>
      </c>
    </row>
    <row r="16" customFormat="false" ht="35.05" hidden="false" customHeight="false" outlineLevel="0" collapsed="false">
      <c r="A16" s="4" t="s">
        <v>1058</v>
      </c>
      <c r="B16" s="4" t="s">
        <v>1059</v>
      </c>
      <c r="C16" s="4" t="s">
        <v>1052</v>
      </c>
      <c r="D16" s="4" t="s">
        <v>1065</v>
      </c>
      <c r="E16" s="6" t="s">
        <v>1066</v>
      </c>
      <c r="F16" s="4" t="s">
        <v>1067</v>
      </c>
      <c r="G16" s="4" t="s">
        <v>1068</v>
      </c>
      <c r="H16" s="7" t="s">
        <v>1064</v>
      </c>
    </row>
    <row r="17" customFormat="false" ht="35.05" hidden="false" customHeight="false" outlineLevel="0" collapsed="false">
      <c r="A17" s="4" t="s">
        <v>1069</v>
      </c>
      <c r="B17" s="4" t="s">
        <v>1070</v>
      </c>
      <c r="C17" s="4" t="s">
        <v>1052</v>
      </c>
      <c r="D17" s="4" t="s">
        <v>1071</v>
      </c>
      <c r="E17" s="6" t="s">
        <v>1072</v>
      </c>
      <c r="F17" s="4" t="s">
        <v>1073</v>
      </c>
      <c r="G17" s="4" t="s">
        <v>1074</v>
      </c>
      <c r="H17" s="7" t="s">
        <v>1075</v>
      </c>
    </row>
    <row r="18" customFormat="false" ht="44" hidden="false" customHeight="false" outlineLevel="0" collapsed="false">
      <c r="A18" s="4" t="s">
        <v>1076</v>
      </c>
      <c r="B18" s="4" t="s">
        <v>1077</v>
      </c>
      <c r="C18" s="4" t="s">
        <v>1078</v>
      </c>
      <c r="D18" s="4" t="s">
        <v>1079</v>
      </c>
      <c r="E18" s="6" t="s">
        <v>1080</v>
      </c>
      <c r="F18" s="4" t="s">
        <v>1081</v>
      </c>
      <c r="G18" s="4" t="s">
        <v>1082</v>
      </c>
      <c r="H18" s="7" t="s">
        <v>894</v>
      </c>
    </row>
    <row r="19" customFormat="false" ht="35.05" hidden="false" customHeight="false" outlineLevel="0" collapsed="false">
      <c r="A19" s="4" t="s">
        <v>1076</v>
      </c>
      <c r="B19" s="4" t="s">
        <v>1083</v>
      </c>
      <c r="C19" s="4" t="s">
        <v>1078</v>
      </c>
      <c r="D19" s="4" t="s">
        <v>1084</v>
      </c>
      <c r="E19" s="6" t="s">
        <v>1085</v>
      </c>
      <c r="F19" s="4" t="s">
        <v>1086</v>
      </c>
      <c r="G19" s="4" t="s">
        <v>725</v>
      </c>
      <c r="H19" s="7" t="s">
        <v>894</v>
      </c>
    </row>
    <row r="20" customFormat="false" ht="29.85" hidden="false" customHeight="false" outlineLevel="0" collapsed="false">
      <c r="A20" s="4" t="s">
        <v>1087</v>
      </c>
      <c r="B20" s="4" t="s">
        <v>1088</v>
      </c>
      <c r="C20" s="4" t="s">
        <v>1078</v>
      </c>
      <c r="D20" s="4" t="s">
        <v>1089</v>
      </c>
      <c r="E20" s="6" t="s">
        <v>1090</v>
      </c>
      <c r="F20" s="4" t="s">
        <v>1091</v>
      </c>
      <c r="G20" s="4" t="s">
        <v>1092</v>
      </c>
      <c r="H20" s="7" t="s">
        <v>894</v>
      </c>
    </row>
    <row r="21" customFormat="false" ht="35.05" hidden="false" customHeight="false" outlineLevel="0" collapsed="false">
      <c r="A21" s="4" t="s">
        <v>1087</v>
      </c>
      <c r="B21" s="4" t="s">
        <v>1093</v>
      </c>
      <c r="C21" s="4" t="s">
        <v>1078</v>
      </c>
      <c r="D21" s="4" t="s">
        <v>1094</v>
      </c>
      <c r="E21" s="6" t="s">
        <v>1095</v>
      </c>
      <c r="F21" s="4" t="s">
        <v>1096</v>
      </c>
      <c r="G21" s="4" t="s">
        <v>1097</v>
      </c>
      <c r="H21" s="7" t="s">
        <v>894</v>
      </c>
    </row>
  </sheetData>
  <autoFilter ref="A1:H21"/>
  <hyperlinks>
    <hyperlink ref="H2" r:id="rId1" display="http://www.ncha.gov.cn/art/2017/2/27/art_2237_43663.html"/>
    <hyperlink ref="H3" r:id="rId2" display="http://www.ncha.gov.cn/art/2017/2/27/art_2237_43663.html"/>
    <hyperlink ref="H4" r:id="rId3" display="https://www.ndrc.gov.cn/fggz/fzzlgh/gjjzxgh/202112/t20211201_1306596.html"/>
    <hyperlink ref="H5" r:id="rId4" display="http://www.ncha.gov.cn/art/2021/10/25/art_722_171543.html"/>
    <hyperlink ref="H6" r:id="rId5" display="http://www.ncha.gov.cn/art/2022/2/18/art_722_173029.html"/>
    <hyperlink ref="H7" r:id="rId6" display="http://www.ncha.gov.cn/art/2026/7/29/art_2318_48456.html"/>
    <hyperlink ref="H8" r:id="rId7" display="http://www.ncha.gov.cn/art/2026/7/29/art_2318_48456.html"/>
    <hyperlink ref="H9" r:id="rId8" display="http://www.ncha.gov.cn/art/2026/7/29/art_2318_48456.html"/>
    <hyperlink ref="H10" r:id="rId9" display="http://www.ncha.gov.cn/art/2026/7/29/art_2318_48456.html"/>
    <hyperlink ref="H11" r:id="rId10" display="http://www.ncha.gov.cn/art/2026/7/29/art_2318_48456.html"/>
    <hyperlink ref="H12" r:id="rId11" display="https://www.chinanews.com.cn/sh/2026/09-24/10703295.shtml"/>
    <hyperlink ref="H13" r:id="rId12" display="https://www.cssn.cn/skgz/bwyc/202605/t20260522_5992725.shtml"/>
    <hyperlink ref="H14" r:id="rId13" display="https://kh.china-embassy.gov.cn/dssghd/202609/t20260908_12018158.htm"/>
    <hyperlink ref="H15" r:id="rId14" display="https://my.china-embassy.gov.cn/sgxx/dsjh/201611/t20161105_1790289.htm"/>
    <hyperlink ref="H16" r:id="rId15" display="https://my.china-embassy.gov.cn/sgxx/dsjh/201611/t20161105_1790289.htm"/>
    <hyperlink ref="H17" r:id="rId16" display="https://ke.china-embassy.gov.cn/sgxx/dszs_145423/202402/t20240223_11249135.htm"/>
    <hyperlink ref="H18" r:id="rId17" display="https://www.ihchina.cn/project.html"/>
    <hyperlink ref="H19" r:id="rId18" display="https://www.ihchina.cn/project.html"/>
    <hyperlink ref="H20" r:id="rId19" display="https://www.ihchina.cn/project.html"/>
    <hyperlink ref="H21" r:id="rId20" display="https://www.ihchina.cn/project.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8"/>
    <col collapsed="false" customWidth="true" hidden="false" outlineLevel="0" max="4" min="4" style="0" width="22"/>
    <col collapsed="false" customWidth="true" hidden="false" outlineLevel="0" max="5" min="5" style="0" width="34"/>
    <col collapsed="false" customWidth="true" hidden="false" outlineLevel="0" max="7" min="6" style="0" width="44"/>
    <col collapsed="false" customWidth="true" hidden="false" outlineLevel="0" max="8" min="8" style="0" width="16"/>
  </cols>
  <sheetData>
    <row r="1" customFormat="false" ht="31.5" hidden="false" customHeight="true" outlineLevel="0" collapsed="false">
      <c r="A1" s="5" t="s">
        <v>1098</v>
      </c>
      <c r="B1" s="5" t="s">
        <v>1099</v>
      </c>
      <c r="C1" s="5" t="s">
        <v>752</v>
      </c>
      <c r="D1" s="5" t="s">
        <v>1100</v>
      </c>
      <c r="E1" s="5" t="s">
        <v>1101</v>
      </c>
      <c r="F1" s="5" t="s">
        <v>383</v>
      </c>
      <c r="G1" s="5" t="s">
        <v>810</v>
      </c>
      <c r="H1" s="5" t="s">
        <v>79</v>
      </c>
    </row>
    <row r="2" customFormat="false" ht="23.85" hidden="false" customHeight="false" outlineLevel="0" collapsed="false">
      <c r="A2" s="4" t="s">
        <v>622</v>
      </c>
      <c r="B2" s="4" t="s">
        <v>1102</v>
      </c>
      <c r="C2" s="4" t="s">
        <v>1028</v>
      </c>
      <c r="D2" s="4" t="s">
        <v>1103</v>
      </c>
      <c r="E2" s="4" t="s">
        <v>1104</v>
      </c>
      <c r="F2" s="4" t="s">
        <v>1105</v>
      </c>
      <c r="G2" s="7" t="s">
        <v>1015</v>
      </c>
      <c r="H2" s="8"/>
    </row>
    <row r="3" customFormat="false" ht="23.85" hidden="false" customHeight="false" outlineLevel="0" collapsed="false">
      <c r="A3" s="4" t="s">
        <v>1106</v>
      </c>
      <c r="B3" s="4" t="s">
        <v>1107</v>
      </c>
      <c r="C3" s="4" t="s">
        <v>1028</v>
      </c>
      <c r="D3" s="4" t="s">
        <v>1108</v>
      </c>
      <c r="E3" s="4" t="s">
        <v>1109</v>
      </c>
      <c r="F3" s="4" t="s">
        <v>1110</v>
      </c>
      <c r="G3" s="7" t="s">
        <v>1015</v>
      </c>
      <c r="H3" s="8"/>
    </row>
    <row r="4" customFormat="false" ht="15" hidden="false" customHeight="false" outlineLevel="0" collapsed="false">
      <c r="A4" s="4" t="s">
        <v>1106</v>
      </c>
      <c r="B4" s="4" t="s">
        <v>1111</v>
      </c>
      <c r="C4" s="4" t="s">
        <v>1028</v>
      </c>
      <c r="D4" s="4" t="s">
        <v>1112</v>
      </c>
      <c r="E4" s="4" t="s">
        <v>1109</v>
      </c>
      <c r="F4" s="6"/>
      <c r="G4" s="7" t="s">
        <v>1015</v>
      </c>
      <c r="H4" s="8"/>
    </row>
    <row r="5" customFormat="false" ht="15" hidden="false" customHeight="false" outlineLevel="0" collapsed="false">
      <c r="A5" s="4" t="s">
        <v>1106</v>
      </c>
      <c r="B5" s="4" t="s">
        <v>1113</v>
      </c>
      <c r="C5" s="4" t="s">
        <v>1028</v>
      </c>
      <c r="D5" s="4" t="s">
        <v>1114</v>
      </c>
      <c r="E5" s="4" t="s">
        <v>1109</v>
      </c>
      <c r="F5" s="4" t="s">
        <v>1115</v>
      </c>
      <c r="G5" s="7" t="s">
        <v>1015</v>
      </c>
      <c r="H5" s="8"/>
    </row>
    <row r="6" customFormat="false" ht="15" hidden="false" customHeight="false" outlineLevel="0" collapsed="false">
      <c r="A6" s="4" t="s">
        <v>1116</v>
      </c>
      <c r="B6" s="4" t="s">
        <v>1117</v>
      </c>
      <c r="C6" s="4" t="s">
        <v>1028</v>
      </c>
      <c r="D6" s="4" t="s">
        <v>1118</v>
      </c>
      <c r="E6" s="4" t="s">
        <v>1119</v>
      </c>
      <c r="F6" s="4" t="s">
        <v>1120</v>
      </c>
      <c r="G6" s="7" t="s">
        <v>1001</v>
      </c>
      <c r="H6" s="8"/>
    </row>
    <row r="7" customFormat="false" ht="15" hidden="false" customHeight="false" outlineLevel="0" collapsed="false">
      <c r="A7" s="4" t="s">
        <v>1116</v>
      </c>
      <c r="B7" s="4" t="s">
        <v>1121</v>
      </c>
      <c r="C7" s="4" t="s">
        <v>1028</v>
      </c>
      <c r="D7" s="4" t="s">
        <v>1122</v>
      </c>
      <c r="E7" s="4" t="s">
        <v>1119</v>
      </c>
      <c r="F7" s="6"/>
      <c r="G7" s="7" t="s">
        <v>875</v>
      </c>
      <c r="H7" s="8"/>
    </row>
    <row r="8" customFormat="false" ht="23.85" hidden="false" customHeight="false" outlineLevel="0" collapsed="false">
      <c r="A8" s="4" t="s">
        <v>1123</v>
      </c>
      <c r="B8" s="4" t="s">
        <v>1124</v>
      </c>
      <c r="C8" s="4" t="s">
        <v>1028</v>
      </c>
      <c r="D8" s="4" t="s">
        <v>1125</v>
      </c>
      <c r="E8" s="4" t="s">
        <v>1119</v>
      </c>
      <c r="F8" s="4" t="s">
        <v>1126</v>
      </c>
      <c r="G8" s="7" t="s">
        <v>875</v>
      </c>
      <c r="H8" s="8"/>
    </row>
    <row r="9" customFormat="false" ht="23.85" hidden="false" customHeight="false" outlineLevel="0" collapsed="false">
      <c r="A9" s="4" t="s">
        <v>1127</v>
      </c>
      <c r="B9" s="4" t="s">
        <v>1128</v>
      </c>
      <c r="C9" s="4" t="s">
        <v>1129</v>
      </c>
      <c r="D9" s="4" t="s">
        <v>1130</v>
      </c>
      <c r="E9" s="4" t="s">
        <v>1131</v>
      </c>
      <c r="F9" s="4" t="s">
        <v>1132</v>
      </c>
      <c r="G9" s="7" t="s">
        <v>922</v>
      </c>
      <c r="H9" s="8"/>
    </row>
    <row r="10" customFormat="false" ht="15" hidden="false" customHeight="false" outlineLevel="0" collapsed="false">
      <c r="A10" s="4" t="s">
        <v>1133</v>
      </c>
      <c r="B10" s="4" t="s">
        <v>1134</v>
      </c>
      <c r="C10" s="4" t="s">
        <v>1129</v>
      </c>
      <c r="D10" s="4" t="s">
        <v>1135</v>
      </c>
      <c r="E10" s="4" t="s">
        <v>1131</v>
      </c>
      <c r="F10" s="4" t="s">
        <v>1136</v>
      </c>
      <c r="G10" s="7" t="s">
        <v>922</v>
      </c>
      <c r="H10" s="8"/>
    </row>
    <row r="11" customFormat="false" ht="15" hidden="false" customHeight="false" outlineLevel="0" collapsed="false">
      <c r="A11" s="4" t="s">
        <v>1137</v>
      </c>
      <c r="B11" s="4" t="s">
        <v>1138</v>
      </c>
      <c r="C11" s="4" t="s">
        <v>1129</v>
      </c>
      <c r="D11" s="4" t="s">
        <v>1139</v>
      </c>
      <c r="E11" s="4" t="s">
        <v>1131</v>
      </c>
      <c r="F11" s="4" t="s">
        <v>1140</v>
      </c>
      <c r="G11" s="7" t="s">
        <v>931</v>
      </c>
      <c r="H11" s="8"/>
    </row>
    <row r="12" customFormat="false" ht="15" hidden="false" customHeight="false" outlineLevel="0" collapsed="false">
      <c r="A12" s="4" t="s">
        <v>1141</v>
      </c>
      <c r="B12" s="4" t="s">
        <v>1142</v>
      </c>
      <c r="C12" s="4" t="s">
        <v>1129</v>
      </c>
      <c r="D12" s="4" t="s">
        <v>1143</v>
      </c>
      <c r="E12" s="4" t="s">
        <v>1131</v>
      </c>
      <c r="F12" s="6"/>
      <c r="G12" s="7" t="s">
        <v>922</v>
      </c>
      <c r="H12" s="8"/>
    </row>
    <row r="13" customFormat="false" ht="15" hidden="false" customHeight="false" outlineLevel="0" collapsed="false">
      <c r="A13" s="4" t="s">
        <v>1144</v>
      </c>
      <c r="B13" s="4" t="s">
        <v>1145</v>
      </c>
      <c r="C13" s="4" t="s">
        <v>1129</v>
      </c>
      <c r="D13" s="4" t="s">
        <v>1146</v>
      </c>
      <c r="E13" s="4" t="s">
        <v>1131</v>
      </c>
      <c r="F13" s="6"/>
      <c r="G13" s="7" t="s">
        <v>922</v>
      </c>
      <c r="H13" s="8"/>
    </row>
    <row r="14" customFormat="false" ht="15" hidden="false" customHeight="false" outlineLevel="0" collapsed="false">
      <c r="A14" s="4" t="s">
        <v>1147</v>
      </c>
      <c r="B14" s="4" t="s">
        <v>1148</v>
      </c>
      <c r="C14" s="4" t="s">
        <v>1129</v>
      </c>
      <c r="D14" s="4" t="s">
        <v>1149</v>
      </c>
      <c r="E14" s="4" t="s">
        <v>1150</v>
      </c>
      <c r="F14" s="4" t="s">
        <v>1151</v>
      </c>
      <c r="G14" s="7" t="s">
        <v>931</v>
      </c>
      <c r="H14" s="8"/>
    </row>
    <row r="15" customFormat="false" ht="23.85" hidden="false" customHeight="false" outlineLevel="0" collapsed="false">
      <c r="A15" s="4" t="s">
        <v>642</v>
      </c>
      <c r="B15" s="4" t="s">
        <v>1152</v>
      </c>
      <c r="C15" s="4" t="s">
        <v>1129</v>
      </c>
      <c r="D15" s="4" t="s">
        <v>1149</v>
      </c>
      <c r="E15" s="4" t="s">
        <v>1153</v>
      </c>
      <c r="F15" s="4" t="s">
        <v>1154</v>
      </c>
      <c r="G15" s="7" t="s">
        <v>931</v>
      </c>
      <c r="H15" s="8"/>
    </row>
    <row r="16" customFormat="false" ht="23.85" hidden="false" customHeight="false" outlineLevel="0" collapsed="false">
      <c r="A16" s="4" t="s">
        <v>1155</v>
      </c>
      <c r="B16" s="4" t="s">
        <v>1156</v>
      </c>
      <c r="C16" s="4" t="s">
        <v>1129</v>
      </c>
      <c r="D16" s="4" t="s">
        <v>1157</v>
      </c>
      <c r="E16" s="4" t="s">
        <v>1158</v>
      </c>
      <c r="F16" s="4" t="s">
        <v>1159</v>
      </c>
      <c r="G16" s="7" t="s">
        <v>1075</v>
      </c>
      <c r="H16" s="8"/>
    </row>
  </sheetData>
  <autoFilter ref="A1:H16"/>
  <hyperlinks>
    <hyperlink ref="G2" r:id="rId1" display="http://www.ncha.gov.cn/art/2022/2/18/art_722_173029.html"/>
    <hyperlink ref="G3" r:id="rId2" display="http://www.ncha.gov.cn/art/2022/2/18/art_722_173029.html"/>
    <hyperlink ref="G4" r:id="rId3" display="http://www.ncha.gov.cn/art/2022/2/18/art_722_173029.html"/>
    <hyperlink ref="G5" r:id="rId4" display="http://www.ncha.gov.cn/art/2022/2/18/art_722_173029.html"/>
    <hyperlink ref="G6" r:id="rId5" display="https://www.ndrc.gov.cn/fggz/fzzlgh/gjjzxgh/202112/t20211201_1306596.html"/>
    <hyperlink ref="G7" r:id="rId6" display="http://www.ncha.gov.cn/art/2026/7/29/art_2318_48456.html"/>
    <hyperlink ref="G8" r:id="rId7" display="http://www.ncha.gov.cn/art/2026/7/29/art_2318_48456.html"/>
    <hyperlink ref="G9" r:id="rId8" display="https://www.cssn.cn/skgz/bwyc/202605/t20260522_5992725.shtml"/>
    <hyperlink ref="G10" r:id="rId9" display="https://www.cssn.cn/skgz/bwyc/202605/t20260522_5992725.shtml"/>
    <hyperlink ref="G11" r:id="rId10" display="https://www.chinanews.com.cn/sh/2026/09-24/10703295.shtml"/>
    <hyperlink ref="G12" r:id="rId11" display="https://www.cssn.cn/skgz/bwyc/202605/t20260522_5992725.shtml"/>
    <hyperlink ref="G13" r:id="rId12" display="https://www.cssn.cn/skgz/bwyc/202605/t20260522_5992725.shtml"/>
    <hyperlink ref="G14" r:id="rId13" display="https://www.chinanews.com.cn/sh/2026/09-24/10703295.shtml"/>
    <hyperlink ref="G15" r:id="rId14" display="https://www.chinanews.com.cn/sh/2026/09-24/10703295.shtml"/>
    <hyperlink ref="G16" r:id="rId15" display="https://ke.china-embassy.gov.cn/sgxx/dszs_145423/202402/t20240223_11249135.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2"/>
    <col collapsed="false" customWidth="true" hidden="false" outlineLevel="0" max="4" min="4" style="0" width="40"/>
    <col collapsed="false" customWidth="true" hidden="false" outlineLevel="0" max="5" min="5" style="0" width="55"/>
    <col collapsed="false" customWidth="true" hidden="false" outlineLevel="0" max="6" min="6" style="0" width="12"/>
    <col collapsed="false" customWidth="true" hidden="false" outlineLevel="0" max="7" min="7" style="0" width="40"/>
    <col collapsed="false" customWidth="true" hidden="false" outlineLevel="0" max="8" min="8" style="0" width="44"/>
    <col collapsed="false" customWidth="true" hidden="false" outlineLevel="0" max="9" min="9" style="0" width="28"/>
    <col collapsed="false" customWidth="true" hidden="false" outlineLevel="0" max="10" min="10" style="0" width="52"/>
    <col collapsed="false" customWidth="true" hidden="false" outlineLevel="0" max="11" min="11" style="0" width="20"/>
    <col collapsed="false" customWidth="true" hidden="false" outlineLevel="0" max="12" min="12" style="0" width="24"/>
  </cols>
  <sheetData>
    <row r="1" customFormat="false" ht="31.5" hidden="false" customHeight="true" outlineLevel="0" collapsed="false">
      <c r="A1" s="5" t="s">
        <v>1160</v>
      </c>
      <c r="B1" s="5" t="s">
        <v>810</v>
      </c>
      <c r="C1" s="5" t="s">
        <v>854</v>
      </c>
      <c r="D1" s="5" t="s">
        <v>855</v>
      </c>
      <c r="E1" s="5" t="s">
        <v>856</v>
      </c>
      <c r="F1" s="5" t="s">
        <v>857</v>
      </c>
      <c r="G1" s="5" t="s">
        <v>858</v>
      </c>
      <c r="H1" s="5" t="s">
        <v>859</v>
      </c>
      <c r="I1" s="5" t="s">
        <v>860</v>
      </c>
      <c r="J1" s="5" t="s">
        <v>861</v>
      </c>
      <c r="K1" s="5" t="s">
        <v>862</v>
      </c>
      <c r="L1" s="5" t="s">
        <v>78</v>
      </c>
    </row>
    <row r="2" customFormat="false" ht="46.25" hidden="false" customHeight="false" outlineLevel="0" collapsed="false">
      <c r="A2" s="4" t="s">
        <v>513</v>
      </c>
      <c r="B2" s="4" t="s">
        <v>1161</v>
      </c>
      <c r="C2" s="4" t="s">
        <v>1162</v>
      </c>
      <c r="D2" s="7" t="s">
        <v>1163</v>
      </c>
      <c r="E2" s="4" t="s">
        <v>1164</v>
      </c>
      <c r="F2" s="4" t="s">
        <v>1165</v>
      </c>
      <c r="G2" s="4" t="s">
        <v>1166</v>
      </c>
      <c r="H2" s="4" t="s">
        <v>1167</v>
      </c>
      <c r="I2" s="4" t="s">
        <v>1168</v>
      </c>
      <c r="J2" s="4" t="s">
        <v>1169</v>
      </c>
      <c r="K2" s="4" t="s">
        <v>1170</v>
      </c>
      <c r="L2" s="8"/>
    </row>
    <row r="3" customFormat="false" ht="35.05" hidden="false" customHeight="false" outlineLevel="0" collapsed="false">
      <c r="A3" s="4" t="s">
        <v>513</v>
      </c>
      <c r="B3" s="4" t="s">
        <v>1171</v>
      </c>
      <c r="C3" s="4" t="s">
        <v>1172</v>
      </c>
      <c r="D3" s="7" t="s">
        <v>1173</v>
      </c>
      <c r="E3" s="4" t="s">
        <v>1174</v>
      </c>
      <c r="F3" s="4" t="s">
        <v>1175</v>
      </c>
      <c r="G3" s="4" t="s">
        <v>1176</v>
      </c>
      <c r="H3" s="4" t="s">
        <v>1177</v>
      </c>
      <c r="I3" s="4" t="s">
        <v>1178</v>
      </c>
      <c r="J3" s="4" t="s">
        <v>1179</v>
      </c>
      <c r="K3" s="4" t="s">
        <v>919</v>
      </c>
      <c r="L3" s="8"/>
    </row>
    <row r="4" customFormat="false" ht="46.25" hidden="false" customHeight="false" outlineLevel="0" collapsed="false">
      <c r="A4" s="4" t="s">
        <v>513</v>
      </c>
      <c r="B4" s="4" t="s">
        <v>1180</v>
      </c>
      <c r="C4" s="4" t="s">
        <v>1181</v>
      </c>
      <c r="D4" s="7" t="s">
        <v>1182</v>
      </c>
      <c r="E4" s="4" t="s">
        <v>1183</v>
      </c>
      <c r="F4" s="4" t="s">
        <v>1184</v>
      </c>
      <c r="G4" s="4" t="s">
        <v>1185</v>
      </c>
      <c r="H4" s="4" t="s">
        <v>1186</v>
      </c>
      <c r="I4" s="4" t="s">
        <v>1187</v>
      </c>
      <c r="J4" s="4" t="s">
        <v>1188</v>
      </c>
      <c r="K4" s="4" t="s">
        <v>1189</v>
      </c>
      <c r="L4" s="8"/>
    </row>
    <row r="5" customFormat="false" ht="35.05" hidden="false" customHeight="false" outlineLevel="0" collapsed="false">
      <c r="A5" s="4" t="s">
        <v>1190</v>
      </c>
      <c r="B5" s="4" t="s">
        <v>1191</v>
      </c>
      <c r="C5" s="4" t="s">
        <v>1192</v>
      </c>
      <c r="D5" s="7" t="s">
        <v>1193</v>
      </c>
      <c r="E5" s="4" t="s">
        <v>1194</v>
      </c>
      <c r="F5" s="4" t="s">
        <v>1195</v>
      </c>
      <c r="G5" s="4" t="s">
        <v>1196</v>
      </c>
      <c r="H5" s="4" t="s">
        <v>1197</v>
      </c>
      <c r="I5" s="4" t="s">
        <v>1198</v>
      </c>
      <c r="J5" s="4" t="s">
        <v>965</v>
      </c>
      <c r="K5" s="4" t="s">
        <v>1199</v>
      </c>
      <c r="L5" s="8"/>
    </row>
    <row r="6" customFormat="false" ht="46.25" hidden="false" customHeight="false" outlineLevel="0" collapsed="false">
      <c r="A6" s="4" t="s">
        <v>1190</v>
      </c>
      <c r="B6" s="4" t="s">
        <v>1200</v>
      </c>
      <c r="C6" s="4" t="s">
        <v>1201</v>
      </c>
      <c r="D6" s="7" t="s">
        <v>1202</v>
      </c>
      <c r="E6" s="4" t="s">
        <v>1203</v>
      </c>
      <c r="F6" s="4" t="s">
        <v>1204</v>
      </c>
      <c r="G6" s="4" t="s">
        <v>1205</v>
      </c>
      <c r="H6" s="4" t="s">
        <v>1206</v>
      </c>
      <c r="I6" s="4" t="s">
        <v>1207</v>
      </c>
      <c r="J6" s="4" t="s">
        <v>1208</v>
      </c>
      <c r="K6" s="4" t="s">
        <v>1199</v>
      </c>
      <c r="L6" s="8"/>
    </row>
    <row r="7" customFormat="false" ht="35.05" hidden="false" customHeight="false" outlineLevel="0" collapsed="false">
      <c r="A7" s="4" t="s">
        <v>1190</v>
      </c>
      <c r="B7" s="4" t="s">
        <v>1209</v>
      </c>
      <c r="C7" s="4" t="s">
        <v>1210</v>
      </c>
      <c r="D7" s="7" t="s">
        <v>1211</v>
      </c>
      <c r="E7" s="4" t="s">
        <v>1212</v>
      </c>
      <c r="F7" s="4" t="s">
        <v>1213</v>
      </c>
      <c r="G7" s="4" t="s">
        <v>1214</v>
      </c>
      <c r="H7" s="4" t="s">
        <v>1215</v>
      </c>
      <c r="I7" s="4" t="s">
        <v>1216</v>
      </c>
      <c r="J7" s="4" t="s">
        <v>1217</v>
      </c>
      <c r="K7" s="4" t="s">
        <v>919</v>
      </c>
      <c r="L7" s="8"/>
    </row>
    <row r="8" customFormat="false" ht="35.05" hidden="false" customHeight="false" outlineLevel="0" collapsed="false">
      <c r="A8" s="4" t="s">
        <v>1106</v>
      </c>
      <c r="B8" s="4" t="s">
        <v>1218</v>
      </c>
      <c r="C8" s="4" t="s">
        <v>1219</v>
      </c>
      <c r="D8" s="7" t="s">
        <v>1220</v>
      </c>
      <c r="E8" s="4" t="s">
        <v>1221</v>
      </c>
      <c r="F8" s="4" t="s">
        <v>1222</v>
      </c>
      <c r="G8" s="4" t="s">
        <v>1223</v>
      </c>
      <c r="H8" s="4" t="s">
        <v>1224</v>
      </c>
      <c r="I8" s="4" t="s">
        <v>1225</v>
      </c>
      <c r="J8" s="4" t="s">
        <v>1226</v>
      </c>
      <c r="K8" s="4" t="s">
        <v>928</v>
      </c>
      <c r="L8" s="8"/>
    </row>
    <row r="9" customFormat="false" ht="23.85" hidden="false" customHeight="false" outlineLevel="0" collapsed="false">
      <c r="A9" s="4" t="s">
        <v>1106</v>
      </c>
      <c r="B9" s="4" t="s">
        <v>1227</v>
      </c>
      <c r="C9" s="4" t="s">
        <v>1228</v>
      </c>
      <c r="D9" s="6"/>
      <c r="E9" s="4" t="s">
        <v>1229</v>
      </c>
      <c r="F9" s="4" t="s">
        <v>1230</v>
      </c>
      <c r="G9" s="4" t="s">
        <v>1231</v>
      </c>
      <c r="H9" s="4" t="s">
        <v>1232</v>
      </c>
      <c r="I9" s="4" t="s">
        <v>1233</v>
      </c>
      <c r="J9" s="4" t="s">
        <v>1234</v>
      </c>
      <c r="K9" s="4" t="s">
        <v>1233</v>
      </c>
      <c r="L9" s="8"/>
    </row>
    <row r="10" customFormat="false" ht="46.25" hidden="false" customHeight="false" outlineLevel="0" collapsed="false">
      <c r="A10" s="4" t="s">
        <v>1155</v>
      </c>
      <c r="B10" s="4" t="s">
        <v>1235</v>
      </c>
      <c r="C10" s="4" t="s">
        <v>1236</v>
      </c>
      <c r="D10" s="7" t="s">
        <v>1237</v>
      </c>
      <c r="E10" s="4" t="s">
        <v>1238</v>
      </c>
      <c r="F10" s="4" t="s">
        <v>1239</v>
      </c>
      <c r="G10" s="4" t="s">
        <v>1240</v>
      </c>
      <c r="H10" s="4" t="s">
        <v>1241</v>
      </c>
      <c r="I10" s="4" t="s">
        <v>1242</v>
      </c>
      <c r="J10" s="4" t="s">
        <v>1243</v>
      </c>
      <c r="K10" s="4" t="s">
        <v>1244</v>
      </c>
      <c r="L10" s="8"/>
    </row>
    <row r="11" customFormat="false" ht="46.25" hidden="false" customHeight="false" outlineLevel="0" collapsed="false">
      <c r="A11" s="4" t="s">
        <v>1245</v>
      </c>
      <c r="B11" s="4" t="s">
        <v>1246</v>
      </c>
      <c r="C11" s="4" t="s">
        <v>1247</v>
      </c>
      <c r="D11" s="7" t="s">
        <v>1248</v>
      </c>
      <c r="E11" s="4" t="s">
        <v>1249</v>
      </c>
      <c r="F11" s="4" t="s">
        <v>1239</v>
      </c>
      <c r="G11" s="4" t="s">
        <v>1250</v>
      </c>
      <c r="H11" s="4" t="s">
        <v>1251</v>
      </c>
      <c r="I11" s="4" t="s">
        <v>1252</v>
      </c>
      <c r="J11" s="4" t="s">
        <v>1253</v>
      </c>
      <c r="K11" s="4" t="s">
        <v>1254</v>
      </c>
      <c r="L11" s="8"/>
    </row>
    <row r="12" customFormat="false" ht="46.25" hidden="false" customHeight="false" outlineLevel="0" collapsed="false">
      <c r="A12" s="4" t="s">
        <v>1245</v>
      </c>
      <c r="B12" s="4" t="s">
        <v>1255</v>
      </c>
      <c r="C12" s="4" t="s">
        <v>1256</v>
      </c>
      <c r="D12" s="7" t="s">
        <v>1257</v>
      </c>
      <c r="E12" s="4" t="s">
        <v>1258</v>
      </c>
      <c r="F12" s="4" t="s">
        <v>1239</v>
      </c>
      <c r="G12" s="4" t="s">
        <v>1259</v>
      </c>
      <c r="H12" s="4" t="s">
        <v>1260</v>
      </c>
      <c r="I12" s="4" t="s">
        <v>1261</v>
      </c>
      <c r="J12" s="4" t="s">
        <v>1262</v>
      </c>
      <c r="K12" s="4" t="s">
        <v>919</v>
      </c>
      <c r="L12" s="8"/>
    </row>
    <row r="13" customFormat="false" ht="23.85" hidden="false" customHeight="false" outlineLevel="0" collapsed="false">
      <c r="A13" s="4" t="s">
        <v>1245</v>
      </c>
      <c r="B13" s="4" t="s">
        <v>1263</v>
      </c>
      <c r="C13" s="4" t="s">
        <v>1264</v>
      </c>
      <c r="D13" s="7" t="s">
        <v>1265</v>
      </c>
      <c r="E13" s="4" t="s">
        <v>1266</v>
      </c>
      <c r="F13" s="4" t="s">
        <v>1267</v>
      </c>
      <c r="G13" s="4" t="s">
        <v>1268</v>
      </c>
      <c r="H13" s="4" t="s">
        <v>1269</v>
      </c>
      <c r="I13" s="4" t="s">
        <v>1270</v>
      </c>
      <c r="J13" s="4" t="s">
        <v>1271</v>
      </c>
      <c r="K13" s="4" t="s">
        <v>1272</v>
      </c>
      <c r="L13" s="8"/>
    </row>
    <row r="14" customFormat="false" ht="35.05" hidden="false" customHeight="false" outlineLevel="0" collapsed="false">
      <c r="A14" s="4" t="s">
        <v>1273</v>
      </c>
      <c r="B14" s="4" t="s">
        <v>1274</v>
      </c>
      <c r="C14" s="4" t="s">
        <v>1275</v>
      </c>
      <c r="D14" s="7" t="s">
        <v>1276</v>
      </c>
      <c r="E14" s="4" t="s">
        <v>1277</v>
      </c>
      <c r="F14" s="4" t="s">
        <v>1239</v>
      </c>
      <c r="G14" s="4" t="s">
        <v>1278</v>
      </c>
      <c r="H14" s="4" t="s">
        <v>1279</v>
      </c>
      <c r="I14" s="4" t="s">
        <v>1280</v>
      </c>
      <c r="J14" s="4" t="s">
        <v>1281</v>
      </c>
      <c r="K14" s="4" t="s">
        <v>919</v>
      </c>
      <c r="L14" s="8"/>
    </row>
    <row r="15" customFormat="false" ht="23.85" hidden="false" customHeight="false" outlineLevel="0" collapsed="false">
      <c r="A15" s="4" t="s">
        <v>1273</v>
      </c>
      <c r="B15" s="4" t="s">
        <v>1282</v>
      </c>
      <c r="C15" s="4" t="s">
        <v>1283</v>
      </c>
      <c r="D15" s="7" t="s">
        <v>1284</v>
      </c>
      <c r="E15" s="4" t="s">
        <v>1285</v>
      </c>
      <c r="F15" s="4" t="s">
        <v>1239</v>
      </c>
      <c r="G15" s="4" t="s">
        <v>1286</v>
      </c>
      <c r="H15" s="4" t="s">
        <v>1287</v>
      </c>
      <c r="I15" s="4" t="s">
        <v>1288</v>
      </c>
      <c r="J15" s="4" t="s">
        <v>1234</v>
      </c>
      <c r="K15" s="4" t="s">
        <v>919</v>
      </c>
      <c r="L15" s="8"/>
    </row>
    <row r="16" customFormat="false" ht="46.25" hidden="false" customHeight="false" outlineLevel="0" collapsed="false">
      <c r="A16" s="4" t="s">
        <v>1273</v>
      </c>
      <c r="B16" s="4" t="s">
        <v>1289</v>
      </c>
      <c r="C16" s="4" t="s">
        <v>1290</v>
      </c>
      <c r="D16" s="7" t="s">
        <v>1291</v>
      </c>
      <c r="E16" s="4" t="s">
        <v>1292</v>
      </c>
      <c r="F16" s="4" t="s">
        <v>1239</v>
      </c>
      <c r="G16" s="4" t="s">
        <v>1293</v>
      </c>
      <c r="H16" s="4" t="s">
        <v>945</v>
      </c>
      <c r="I16" s="4" t="s">
        <v>1294</v>
      </c>
      <c r="J16" s="4" t="s">
        <v>1295</v>
      </c>
      <c r="K16" s="4" t="s">
        <v>938</v>
      </c>
      <c r="L16" s="8"/>
    </row>
    <row r="17" customFormat="false" ht="57.45" hidden="false" customHeight="false" outlineLevel="0" collapsed="false">
      <c r="A17" s="4" t="s">
        <v>1296</v>
      </c>
      <c r="B17" s="4" t="s">
        <v>1297</v>
      </c>
      <c r="C17" s="4" t="s">
        <v>1298</v>
      </c>
      <c r="D17" s="7" t="s">
        <v>1299</v>
      </c>
      <c r="E17" s="4" t="s">
        <v>1300</v>
      </c>
      <c r="F17" s="4" t="s">
        <v>1301</v>
      </c>
      <c r="G17" s="4" t="s">
        <v>1278</v>
      </c>
      <c r="H17" s="4" t="s">
        <v>1302</v>
      </c>
      <c r="I17" s="4" t="s">
        <v>1303</v>
      </c>
      <c r="J17" s="4" t="s">
        <v>1304</v>
      </c>
      <c r="K17" s="4" t="s">
        <v>1305</v>
      </c>
      <c r="L17" s="8"/>
    </row>
    <row r="18" customFormat="false" ht="35.05" hidden="false" customHeight="false" outlineLevel="0" collapsed="false">
      <c r="A18" s="4" t="s">
        <v>1296</v>
      </c>
      <c r="B18" s="4" t="s">
        <v>1306</v>
      </c>
      <c r="C18" s="4" t="s">
        <v>1307</v>
      </c>
      <c r="D18" s="7" t="s">
        <v>1308</v>
      </c>
      <c r="E18" s="4" t="s">
        <v>1309</v>
      </c>
      <c r="F18" s="4" t="s">
        <v>1301</v>
      </c>
      <c r="G18" s="4" t="s">
        <v>1310</v>
      </c>
      <c r="H18" s="4" t="s">
        <v>1311</v>
      </c>
      <c r="I18" s="4" t="s">
        <v>1312</v>
      </c>
      <c r="J18" s="4" t="s">
        <v>1313</v>
      </c>
      <c r="K18" s="4" t="s">
        <v>1314</v>
      </c>
      <c r="L18" s="8"/>
    </row>
    <row r="19" customFormat="false" ht="46.25" hidden="false" customHeight="false" outlineLevel="0" collapsed="false">
      <c r="A19" s="4" t="s">
        <v>1296</v>
      </c>
      <c r="B19" s="4" t="s">
        <v>1315</v>
      </c>
      <c r="C19" s="4" t="s">
        <v>1316</v>
      </c>
      <c r="D19" s="7" t="s">
        <v>1317</v>
      </c>
      <c r="E19" s="4" t="s">
        <v>1318</v>
      </c>
      <c r="F19" s="4" t="s">
        <v>1239</v>
      </c>
      <c r="G19" s="4" t="s">
        <v>1319</v>
      </c>
      <c r="H19" s="4" t="s">
        <v>1320</v>
      </c>
      <c r="I19" s="4" t="s">
        <v>1321</v>
      </c>
      <c r="J19" s="4" t="s">
        <v>1322</v>
      </c>
      <c r="K19" s="4" t="s">
        <v>919</v>
      </c>
      <c r="L19" s="8"/>
    </row>
    <row r="20" customFormat="false" ht="46.25" hidden="false" customHeight="false" outlineLevel="0" collapsed="false">
      <c r="A20" s="4" t="s">
        <v>1323</v>
      </c>
      <c r="B20" s="4" t="s">
        <v>1324</v>
      </c>
      <c r="C20" s="4" t="s">
        <v>1264</v>
      </c>
      <c r="D20" s="7" t="s">
        <v>1325</v>
      </c>
      <c r="E20" s="4" t="s">
        <v>1326</v>
      </c>
      <c r="F20" s="4" t="s">
        <v>1267</v>
      </c>
      <c r="G20" s="4" t="s">
        <v>1327</v>
      </c>
      <c r="H20" s="4" t="s">
        <v>1328</v>
      </c>
      <c r="I20" s="4" t="s">
        <v>1329</v>
      </c>
      <c r="J20" s="4" t="s">
        <v>1330</v>
      </c>
      <c r="K20" s="4" t="s">
        <v>1272</v>
      </c>
      <c r="L20" s="8"/>
    </row>
  </sheetData>
  <autoFilter ref="A1:L20"/>
  <hyperlinks>
    <hyperlink ref="D2" r:id="rId1" display="https://www.heritage.gov.my/images/05_daftarwarisan/BANGUNAN_Warisan%20Kebangsaan.pdf"/>
    <hyperlink ref="D3" r:id="rId2" display="https://gtwhi.com.my/our-work/buildings/"/>
    <hyperlink ref="D4" r:id="rId3" display="https://www.thestar.com.my/news/nation/2005/07/14/bukit-cina-to-be-gazetted"/>
    <hyperlink ref="D5" r:id="rId4" display="https://zakon.uchet.kz/rus/docs/P080000279_"/>
    <hyperlink ref="D6" r:id="rId5" display="https://faolex.fao.org/docs/pdf/kyr161432.pdf"/>
    <hyperlink ref="D7" r:id="rId6" display="https://database.uclcaal.org/"/>
    <hyperlink ref="D8" r:id="rId7" display="https://apsaraauthority.gov.kh/our-work/archeological-research-conservation/5"/>
    <hyperlink ref="D10" r:id="rId8" display="https://en.wikipedia.org/wiki/List_of_sites_and_monuments_in_Kenya"/>
    <hyperlink ref="D11" r:id="rId9" display="https://home.nps.gov/subjects/nationalregister/data-downloads.htm"/>
    <hyperlink ref="D12" r:id="rId10" display="https://www.nps.gov/subjects/tellingallamericansstories/upload/19-Appendix-II-Study-List.pdf"/>
    <hyperlink ref="D13" r:id="rId11" display="https://web.stanford.edu/group/chineserailroad/cgi-bin/website/researchmaterials/archaeology"/>
    <hyperlink ref="D14" r:id="rId12" display="https://api.heritagecouncil.vic.gov.au/v1/places?kw=chinese&amp;rpp=5"/>
    <hyperlink ref="D15" r:id="rId13" display="https://data.gov.au/data/dataset/australian-heritage-database"/>
    <hyperlink ref="D16" r:id="rId14" display="https://chineseaustralianhistory.org/heritage/"/>
    <hyperlink ref="D17" r:id="rId15" display="https://query.wikidata.org/"/>
    <hyperlink ref="D18" r:id="rId16" display="https://overpass-api.de/"/>
    <hyperlink ref="D19" r:id="rId17" display="https://www.aiddata.org/data/aiddatas-global-chinese-development-finance-dataset-version-3-0"/>
    <hyperlink ref="D20" r:id="rId18" display="http://shgis.nus.edu.sg/index.php/chinese-temp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22"/>
    <col collapsed="false" customWidth="true" hidden="false" outlineLevel="0" max="4" min="4" style="0" width="14"/>
    <col collapsed="false" customWidth="true" hidden="false" outlineLevel="0" max="5" min="5" style="0" width="34"/>
    <col collapsed="false" customWidth="true" hidden="false" outlineLevel="0" max="6" min="6" style="0" width="64"/>
    <col collapsed="false" customWidth="true" hidden="false" outlineLevel="0" max="7" min="7" style="0" width="34"/>
    <col collapsed="false" customWidth="true" hidden="false" outlineLevel="0" max="8" min="8" style="0" width="44"/>
    <col collapsed="false" customWidth="true" hidden="false" outlineLevel="0" max="9" min="9" style="0" width="22"/>
  </cols>
  <sheetData>
    <row r="1" customFormat="false" ht="31.5" hidden="false" customHeight="true" outlineLevel="0" collapsed="false">
      <c r="A1" s="5" t="s">
        <v>976</v>
      </c>
      <c r="B1" s="5" t="s">
        <v>977</v>
      </c>
      <c r="C1" s="5" t="s">
        <v>978</v>
      </c>
      <c r="D1" s="5" t="s">
        <v>1098</v>
      </c>
      <c r="E1" s="5" t="s">
        <v>979</v>
      </c>
      <c r="F1" s="5" t="s">
        <v>1331</v>
      </c>
      <c r="G1" s="5" t="s">
        <v>982</v>
      </c>
      <c r="H1" s="5" t="s">
        <v>810</v>
      </c>
      <c r="I1" s="5" t="s">
        <v>79</v>
      </c>
    </row>
    <row r="2" customFormat="false" ht="35.05" hidden="false" customHeight="false" outlineLevel="0" collapsed="false">
      <c r="A2" s="4" t="s">
        <v>1332</v>
      </c>
      <c r="B2" s="4" t="s">
        <v>1218</v>
      </c>
      <c r="C2" s="4" t="s">
        <v>1333</v>
      </c>
      <c r="D2" s="4" t="s">
        <v>1106</v>
      </c>
      <c r="E2" s="4" t="s">
        <v>1334</v>
      </c>
      <c r="F2" s="4" t="s">
        <v>1335</v>
      </c>
      <c r="G2" s="4" t="s">
        <v>1336</v>
      </c>
      <c r="H2" s="7" t="s">
        <v>1337</v>
      </c>
      <c r="I2" s="8" t="s">
        <v>1338</v>
      </c>
    </row>
    <row r="3" customFormat="false" ht="23.85" hidden="false" customHeight="false" outlineLevel="0" collapsed="false">
      <c r="A3" s="4" t="s">
        <v>1339</v>
      </c>
      <c r="B3" s="4" t="s">
        <v>1340</v>
      </c>
      <c r="C3" s="4" t="s">
        <v>1333</v>
      </c>
      <c r="D3" s="4" t="s">
        <v>1155</v>
      </c>
      <c r="E3" s="4" t="s">
        <v>1341</v>
      </c>
      <c r="F3" s="4" t="s">
        <v>1342</v>
      </c>
      <c r="G3" s="4" t="s">
        <v>1343</v>
      </c>
      <c r="H3" s="7" t="s">
        <v>1344</v>
      </c>
      <c r="I3" s="8" t="s">
        <v>1338</v>
      </c>
    </row>
    <row r="4" customFormat="false" ht="23.85" hidden="false" customHeight="false" outlineLevel="0" collapsed="false">
      <c r="A4" s="4" t="s">
        <v>1345</v>
      </c>
      <c r="B4" s="4" t="s">
        <v>1346</v>
      </c>
      <c r="C4" s="4" t="s">
        <v>1333</v>
      </c>
      <c r="D4" s="4" t="s">
        <v>642</v>
      </c>
      <c r="E4" s="4" t="s">
        <v>1347</v>
      </c>
      <c r="F4" s="4" t="s">
        <v>1348</v>
      </c>
      <c r="G4" s="4" t="s">
        <v>1349</v>
      </c>
      <c r="H4" s="7" t="s">
        <v>1202</v>
      </c>
      <c r="I4" s="8" t="s">
        <v>1338</v>
      </c>
    </row>
    <row r="5" customFormat="false" ht="46.25" hidden="false" customHeight="false" outlineLevel="0" collapsed="false">
      <c r="A5" s="4" t="s">
        <v>1350</v>
      </c>
      <c r="B5" s="4" t="s">
        <v>1351</v>
      </c>
      <c r="C5" s="4" t="s">
        <v>1352</v>
      </c>
      <c r="D5" s="4" t="s">
        <v>513</v>
      </c>
      <c r="E5" s="4" t="s">
        <v>1353</v>
      </c>
      <c r="F5" s="4" t="s">
        <v>1354</v>
      </c>
      <c r="G5" s="4" t="s">
        <v>1355</v>
      </c>
      <c r="H5" s="7" t="s">
        <v>1173</v>
      </c>
      <c r="I5" s="8" t="s">
        <v>1338</v>
      </c>
    </row>
    <row r="6" customFormat="false" ht="35.05" hidden="false" customHeight="false" outlineLevel="0" collapsed="false">
      <c r="A6" s="4" t="s">
        <v>1356</v>
      </c>
      <c r="B6" s="4" t="s">
        <v>1357</v>
      </c>
      <c r="C6" s="4" t="s">
        <v>1358</v>
      </c>
      <c r="D6" s="4" t="s">
        <v>513</v>
      </c>
      <c r="E6" s="4" t="s">
        <v>1359</v>
      </c>
      <c r="F6" s="4" t="s">
        <v>1360</v>
      </c>
      <c r="G6" s="4" t="s">
        <v>1361</v>
      </c>
      <c r="H6" s="7" t="s">
        <v>1182</v>
      </c>
      <c r="I6" s="8" t="s">
        <v>1338</v>
      </c>
    </row>
    <row r="7" customFormat="false" ht="23.85" hidden="false" customHeight="false" outlineLevel="0" collapsed="false">
      <c r="A7" s="4" t="s">
        <v>1362</v>
      </c>
      <c r="B7" s="4" t="s">
        <v>1363</v>
      </c>
      <c r="C7" s="4" t="s">
        <v>1333</v>
      </c>
      <c r="D7" s="4" t="s">
        <v>1273</v>
      </c>
      <c r="E7" s="4" t="s">
        <v>1364</v>
      </c>
      <c r="F7" s="4" t="s">
        <v>1365</v>
      </c>
      <c r="G7" s="4" t="s">
        <v>1366</v>
      </c>
      <c r="H7" s="7" t="s">
        <v>1367</v>
      </c>
      <c r="I7" s="8" t="s">
        <v>1338</v>
      </c>
    </row>
    <row r="8" customFormat="false" ht="23.85" hidden="false" customHeight="false" outlineLevel="0" collapsed="false">
      <c r="A8" s="4" t="s">
        <v>1368</v>
      </c>
      <c r="B8" s="4" t="s">
        <v>1369</v>
      </c>
      <c r="C8" s="4" t="s">
        <v>1370</v>
      </c>
      <c r="D8" s="4" t="s">
        <v>1155</v>
      </c>
      <c r="E8" s="4" t="s">
        <v>1371</v>
      </c>
      <c r="F8" s="4" t="s">
        <v>1372</v>
      </c>
      <c r="G8" s="4" t="s">
        <v>1373</v>
      </c>
      <c r="H8" s="7" t="s">
        <v>1374</v>
      </c>
      <c r="I8" s="8" t="s">
        <v>1338</v>
      </c>
    </row>
  </sheetData>
  <autoFilter ref="A1:I8"/>
  <hyperlinks>
    <hyperlink ref="H2" r:id="rId1" display="https://apsaraauthority.gov.kh/2025/10/24/meeting-and-inspects-work-on-the-royal-palace/"/>
    <hyperlink ref="H3" r:id="rId2" display="https://museums.or.ke/?p=2296"/>
    <hyperlink ref="H4" r:id="rId3" display="https://faolex.fao.org/docs/pdf/kyr161432.pdf"/>
    <hyperlink ref="H5" r:id="rId4" display="https://gtwhi.com.my/our-work/buildings/"/>
    <hyperlink ref="H6" r:id="rId5" display="https://www.thestar.com.my/news/nation/2005/07/14/bukit-cina-to-be-gazetted"/>
    <hyperlink ref="H7" r:id="rId6" display="https://vhd.heritagecouncil.vic.gov.au/places/34220"/>
    <hyperlink ref="H8" r:id="rId7" display="https://caspu.pku.edu.cn/en/publications/africanhistory/228981.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4"/>
    <col collapsed="false" customWidth="true" hidden="false" outlineLevel="0" max="3" min="3" style="0" width="70"/>
    <col collapsed="false" customWidth="true" hidden="false" outlineLevel="0" max="5" min="4" style="0" width="10"/>
    <col collapsed="false" customWidth="true" hidden="false" outlineLevel="0" max="7" min="6" style="0" width="16"/>
    <col collapsed="false" customWidth="true" hidden="false" outlineLevel="0" max="8" min="8" style="0" width="14"/>
    <col collapsed="false" customWidth="true" hidden="false" outlineLevel="0" max="9" min="9" style="0" width="46"/>
    <col collapsed="false" customWidth="true" hidden="false" outlineLevel="0" max="10" min="10" style="0" width="24"/>
  </cols>
  <sheetData>
    <row r="1" customFormat="false" ht="31.5" hidden="false" customHeight="true" outlineLevel="0" collapsed="false">
      <c r="A1" s="5" t="s">
        <v>1375</v>
      </c>
      <c r="B1" s="5" t="s">
        <v>1376</v>
      </c>
      <c r="C1" s="5" t="s">
        <v>1377</v>
      </c>
      <c r="D1" s="5" t="s">
        <v>1378</v>
      </c>
      <c r="E1" s="5" t="s">
        <v>1379</v>
      </c>
      <c r="F1" s="5" t="s">
        <v>1380</v>
      </c>
      <c r="G1" s="5" t="s">
        <v>1381</v>
      </c>
      <c r="H1" s="5" t="s">
        <v>1382</v>
      </c>
      <c r="I1" s="5" t="s">
        <v>1383</v>
      </c>
      <c r="J1" s="5" t="s">
        <v>78</v>
      </c>
    </row>
    <row r="2" customFormat="false" ht="15" hidden="false" customHeight="false" outlineLevel="0" collapsed="false">
      <c r="A2" s="4" t="s">
        <v>1384</v>
      </c>
      <c r="B2" s="4" t="s">
        <v>1385</v>
      </c>
      <c r="C2" s="6" t="s">
        <v>1386</v>
      </c>
      <c r="D2" s="6" t="s">
        <v>1387</v>
      </c>
      <c r="E2" s="6" t="s">
        <v>1388</v>
      </c>
      <c r="F2" s="4" t="s">
        <v>1389</v>
      </c>
      <c r="G2" s="4" t="s">
        <v>1389</v>
      </c>
      <c r="H2" s="6" t="s">
        <v>1390</v>
      </c>
      <c r="I2" s="7" t="s">
        <v>1391</v>
      </c>
      <c r="J2" s="8"/>
    </row>
    <row r="3" customFormat="false" ht="29.85" hidden="false" customHeight="false" outlineLevel="0" collapsed="false">
      <c r="A3" s="4" t="s">
        <v>1392</v>
      </c>
      <c r="B3" s="4" t="s">
        <v>1385</v>
      </c>
      <c r="C3" s="6" t="s">
        <v>1393</v>
      </c>
      <c r="D3" s="6" t="s">
        <v>1387</v>
      </c>
      <c r="E3" s="6" t="s">
        <v>1388</v>
      </c>
      <c r="F3" s="4" t="s">
        <v>1394</v>
      </c>
      <c r="G3" s="4" t="s">
        <v>1394</v>
      </c>
      <c r="H3" s="6" t="s">
        <v>1390</v>
      </c>
      <c r="I3" s="7" t="s">
        <v>1395</v>
      </c>
      <c r="J3" s="8"/>
    </row>
    <row r="4" customFormat="false" ht="15" hidden="false" customHeight="false" outlineLevel="0" collapsed="false">
      <c r="A4" s="4" t="s">
        <v>1396</v>
      </c>
      <c r="B4" s="4" t="s">
        <v>1385</v>
      </c>
      <c r="C4" s="6" t="s">
        <v>1397</v>
      </c>
      <c r="D4" s="6" t="s">
        <v>1387</v>
      </c>
      <c r="E4" s="6" t="s">
        <v>1388</v>
      </c>
      <c r="F4" s="4" t="s">
        <v>1398</v>
      </c>
      <c r="G4" s="4" t="s">
        <v>1399</v>
      </c>
      <c r="H4" s="6" t="s">
        <v>1390</v>
      </c>
      <c r="I4" s="7" t="s">
        <v>1400</v>
      </c>
      <c r="J4" s="8"/>
    </row>
    <row r="5" customFormat="false" ht="15" hidden="false" customHeight="false" outlineLevel="0" collapsed="false">
      <c r="A5" s="4" t="s">
        <v>616</v>
      </c>
      <c r="B5" s="4" t="s">
        <v>1385</v>
      </c>
      <c r="C5" s="6" t="s">
        <v>1401</v>
      </c>
      <c r="D5" s="6" t="s">
        <v>1387</v>
      </c>
      <c r="E5" s="6" t="s">
        <v>1388</v>
      </c>
      <c r="F5" s="4" t="s">
        <v>1402</v>
      </c>
      <c r="G5" s="4" t="s">
        <v>1403</v>
      </c>
      <c r="H5" s="6" t="s">
        <v>1390</v>
      </c>
      <c r="I5" s="7" t="s">
        <v>1404</v>
      </c>
      <c r="J5" s="8"/>
    </row>
    <row r="6" customFormat="false" ht="29.85" hidden="false" customHeight="false" outlineLevel="0" collapsed="false">
      <c r="A6" s="4" t="s">
        <v>1141</v>
      </c>
      <c r="B6" s="4" t="s">
        <v>1385</v>
      </c>
      <c r="C6" s="6" t="s">
        <v>1405</v>
      </c>
      <c r="D6" s="6" t="s">
        <v>1387</v>
      </c>
      <c r="E6" s="6" t="s">
        <v>1388</v>
      </c>
      <c r="F6" s="4" t="s">
        <v>1406</v>
      </c>
      <c r="G6" s="4" t="s">
        <v>1406</v>
      </c>
      <c r="H6" s="6" t="s">
        <v>1390</v>
      </c>
      <c r="I6" s="7" t="s">
        <v>1407</v>
      </c>
      <c r="J6" s="8"/>
    </row>
    <row r="7" customFormat="false" ht="15" hidden="false" customHeight="false" outlineLevel="0" collapsed="false">
      <c r="A7" s="4" t="s">
        <v>1408</v>
      </c>
      <c r="B7" s="4" t="s">
        <v>1385</v>
      </c>
      <c r="C7" s="6" t="s">
        <v>1409</v>
      </c>
      <c r="D7" s="6" t="s">
        <v>1387</v>
      </c>
      <c r="E7" s="6" t="s">
        <v>1388</v>
      </c>
      <c r="F7" s="4" t="s">
        <v>1410</v>
      </c>
      <c r="G7" s="4" t="s">
        <v>1410</v>
      </c>
      <c r="H7" s="6" t="s">
        <v>1390</v>
      </c>
      <c r="I7" s="7" t="s">
        <v>1411</v>
      </c>
      <c r="J7" s="8"/>
    </row>
    <row r="8" customFormat="false" ht="15" hidden="false" customHeight="false" outlineLevel="0" collapsed="false">
      <c r="A8" s="4" t="s">
        <v>1412</v>
      </c>
      <c r="B8" s="4" t="s">
        <v>1385</v>
      </c>
      <c r="C8" s="6" t="s">
        <v>1413</v>
      </c>
      <c r="D8" s="6" t="s">
        <v>1387</v>
      </c>
      <c r="E8" s="6" t="s">
        <v>1388</v>
      </c>
      <c r="F8" s="4" t="s">
        <v>1414</v>
      </c>
      <c r="G8" s="4" t="s">
        <v>1414</v>
      </c>
      <c r="H8" s="6" t="s">
        <v>1390</v>
      </c>
      <c r="I8" s="7" t="s">
        <v>1415</v>
      </c>
      <c r="J8" s="8"/>
    </row>
    <row r="9" customFormat="false" ht="15" hidden="false" customHeight="false" outlineLevel="0" collapsed="false">
      <c r="A9" s="4" t="s">
        <v>1416</v>
      </c>
      <c r="B9" s="4" t="s">
        <v>1385</v>
      </c>
      <c r="C9" s="6" t="s">
        <v>1417</v>
      </c>
      <c r="D9" s="6" t="s">
        <v>1387</v>
      </c>
      <c r="E9" s="6" t="s">
        <v>1388</v>
      </c>
      <c r="F9" s="4" t="s">
        <v>1418</v>
      </c>
      <c r="G9" s="4" t="s">
        <v>1418</v>
      </c>
      <c r="H9" s="6" t="s">
        <v>1390</v>
      </c>
      <c r="I9" s="7" t="s">
        <v>1419</v>
      </c>
      <c r="J9" s="8"/>
    </row>
    <row r="10" customFormat="false" ht="15" hidden="false" customHeight="false" outlineLevel="0" collapsed="false">
      <c r="A10" s="4" t="s">
        <v>1420</v>
      </c>
      <c r="B10" s="4" t="s">
        <v>1385</v>
      </c>
      <c r="C10" s="6" t="s">
        <v>1421</v>
      </c>
      <c r="D10" s="6" t="s">
        <v>1387</v>
      </c>
      <c r="E10" s="6" t="s">
        <v>1388</v>
      </c>
      <c r="F10" s="4" t="s">
        <v>1422</v>
      </c>
      <c r="G10" s="4" t="s">
        <v>1422</v>
      </c>
      <c r="H10" s="6" t="s">
        <v>1390</v>
      </c>
      <c r="I10" s="7" t="s">
        <v>1423</v>
      </c>
      <c r="J10" s="8"/>
    </row>
    <row r="11" customFormat="false" ht="15" hidden="false" customHeight="false" outlineLevel="0" collapsed="false">
      <c r="A11" s="4" t="s">
        <v>1273</v>
      </c>
      <c r="B11" s="4" t="s">
        <v>1385</v>
      </c>
      <c r="C11" s="6" t="s">
        <v>1424</v>
      </c>
      <c r="D11" s="6" t="s">
        <v>1387</v>
      </c>
      <c r="E11" s="6" t="s">
        <v>1388</v>
      </c>
      <c r="F11" s="4" t="s">
        <v>1425</v>
      </c>
      <c r="G11" s="4" t="s">
        <v>1425</v>
      </c>
      <c r="H11" s="6" t="s">
        <v>1390</v>
      </c>
      <c r="I11" s="7" t="s">
        <v>1426</v>
      </c>
      <c r="J11" s="8"/>
    </row>
    <row r="12" customFormat="false" ht="15" hidden="false" customHeight="false" outlineLevel="0" collapsed="false">
      <c r="A12" s="4" t="s">
        <v>532</v>
      </c>
      <c r="B12" s="4" t="s">
        <v>1385</v>
      </c>
      <c r="C12" s="6" t="s">
        <v>1427</v>
      </c>
      <c r="D12" s="6" t="s">
        <v>1387</v>
      </c>
      <c r="E12" s="6" t="s">
        <v>1388</v>
      </c>
      <c r="F12" s="4" t="s">
        <v>1428</v>
      </c>
      <c r="G12" s="4" t="s">
        <v>1428</v>
      </c>
      <c r="H12" s="6" t="s">
        <v>1390</v>
      </c>
      <c r="I12" s="7" t="s">
        <v>1429</v>
      </c>
      <c r="J12" s="8"/>
    </row>
    <row r="13" customFormat="false" ht="15" hidden="false" customHeight="false" outlineLevel="0" collapsed="false">
      <c r="A13" s="4" t="s">
        <v>616</v>
      </c>
      <c r="B13" s="4" t="s">
        <v>1430</v>
      </c>
      <c r="C13" s="6" t="s">
        <v>1431</v>
      </c>
      <c r="D13" s="6" t="s">
        <v>1387</v>
      </c>
      <c r="E13" s="6" t="s">
        <v>1388</v>
      </c>
      <c r="F13" s="4" t="s">
        <v>1432</v>
      </c>
      <c r="G13" s="4" t="s">
        <v>1432</v>
      </c>
      <c r="H13" s="6" t="s">
        <v>1390</v>
      </c>
      <c r="I13" s="7" t="s">
        <v>1433</v>
      </c>
      <c r="J13" s="8"/>
    </row>
    <row r="14" customFormat="false" ht="29.85" hidden="false" customHeight="false" outlineLevel="0" collapsed="false">
      <c r="A14" s="4" t="s">
        <v>1434</v>
      </c>
      <c r="B14" s="4" t="s">
        <v>1435</v>
      </c>
      <c r="C14" s="6" t="s">
        <v>1436</v>
      </c>
      <c r="D14" s="6" t="s">
        <v>1387</v>
      </c>
      <c r="E14" s="6" t="s">
        <v>1388</v>
      </c>
      <c r="F14" s="4" t="s">
        <v>1437</v>
      </c>
      <c r="G14" s="4" t="s">
        <v>1437</v>
      </c>
      <c r="H14" s="6" t="s">
        <v>1438</v>
      </c>
      <c r="I14" s="7" t="s">
        <v>1439</v>
      </c>
      <c r="J14" s="8"/>
    </row>
    <row r="15" customFormat="false" ht="15" hidden="false" customHeight="false" outlineLevel="0" collapsed="false">
      <c r="A15" s="4" t="s">
        <v>602</v>
      </c>
      <c r="B15" s="4" t="s">
        <v>1440</v>
      </c>
      <c r="C15" s="6" t="s">
        <v>1441</v>
      </c>
      <c r="D15" s="6" t="s">
        <v>1387</v>
      </c>
      <c r="E15" s="6" t="s">
        <v>1388</v>
      </c>
      <c r="F15" s="4" t="s">
        <v>1442</v>
      </c>
      <c r="G15" s="4" t="s">
        <v>1442</v>
      </c>
      <c r="H15" s="6" t="s">
        <v>1390</v>
      </c>
      <c r="I15" s="7" t="s">
        <v>1443</v>
      </c>
      <c r="J15" s="8"/>
    </row>
    <row r="16" customFormat="false" ht="15" hidden="false" customHeight="false" outlineLevel="0" collapsed="false">
      <c r="A16" s="4" t="s">
        <v>1444</v>
      </c>
      <c r="B16" s="4" t="s">
        <v>1445</v>
      </c>
      <c r="C16" s="6" t="s">
        <v>1446</v>
      </c>
      <c r="D16" s="6" t="s">
        <v>1387</v>
      </c>
      <c r="E16" s="6" t="s">
        <v>1447</v>
      </c>
      <c r="F16" s="4" t="s">
        <v>1448</v>
      </c>
      <c r="G16" s="6"/>
      <c r="H16" s="6" t="s">
        <v>1390</v>
      </c>
      <c r="I16" s="7" t="s">
        <v>1449</v>
      </c>
      <c r="J16" s="8"/>
    </row>
    <row r="17" customFormat="false" ht="29.85" hidden="false" customHeight="false" outlineLevel="0" collapsed="false">
      <c r="A17" s="4" t="s">
        <v>520</v>
      </c>
      <c r="B17" s="4" t="s">
        <v>1440</v>
      </c>
      <c r="C17" s="6" t="s">
        <v>1450</v>
      </c>
      <c r="D17" s="6" t="s">
        <v>1387</v>
      </c>
      <c r="E17" s="6" t="s">
        <v>1388</v>
      </c>
      <c r="F17" s="4" t="s">
        <v>1451</v>
      </c>
      <c r="G17" s="6"/>
      <c r="H17" s="6" t="s">
        <v>1390</v>
      </c>
      <c r="I17" s="7" t="s">
        <v>1452</v>
      </c>
      <c r="J17" s="8"/>
    </row>
    <row r="18" customFormat="false" ht="15" hidden="false" customHeight="false" outlineLevel="0" collapsed="false">
      <c r="A18" s="4" t="s">
        <v>666</v>
      </c>
      <c r="B18" s="4" t="s">
        <v>1440</v>
      </c>
      <c r="C18" s="6" t="s">
        <v>1453</v>
      </c>
      <c r="D18" s="6" t="s">
        <v>1387</v>
      </c>
      <c r="E18" s="6" t="s">
        <v>1388</v>
      </c>
      <c r="F18" s="4" t="s">
        <v>1454</v>
      </c>
      <c r="G18" s="4" t="s">
        <v>1454</v>
      </c>
      <c r="H18" s="6" t="s">
        <v>1390</v>
      </c>
      <c r="I18" s="7" t="s">
        <v>1455</v>
      </c>
      <c r="J18" s="8"/>
    </row>
    <row r="19" customFormat="false" ht="15" hidden="false" customHeight="false" outlineLevel="0" collapsed="false">
      <c r="A19" s="4" t="s">
        <v>666</v>
      </c>
      <c r="B19" s="4" t="s">
        <v>1445</v>
      </c>
      <c r="C19" s="6" t="s">
        <v>1456</v>
      </c>
      <c r="D19" s="6" t="s">
        <v>1387</v>
      </c>
      <c r="E19" s="6" t="s">
        <v>1447</v>
      </c>
      <c r="F19" s="4" t="s">
        <v>1454</v>
      </c>
      <c r="G19" s="6"/>
      <c r="H19" s="6" t="s">
        <v>1390</v>
      </c>
      <c r="I19" s="7" t="s">
        <v>1457</v>
      </c>
      <c r="J19" s="8"/>
    </row>
    <row r="20" customFormat="false" ht="15" hidden="false" customHeight="false" outlineLevel="0" collapsed="false">
      <c r="A20" s="4" t="s">
        <v>532</v>
      </c>
      <c r="B20" s="4" t="s">
        <v>1445</v>
      </c>
      <c r="C20" s="6" t="s">
        <v>1458</v>
      </c>
      <c r="D20" s="6" t="s">
        <v>1387</v>
      </c>
      <c r="E20" s="6" t="s">
        <v>1447</v>
      </c>
      <c r="F20" s="4" t="s">
        <v>1459</v>
      </c>
      <c r="G20" s="6"/>
      <c r="H20" s="6" t="s">
        <v>1390</v>
      </c>
      <c r="I20" s="7" t="s">
        <v>1460</v>
      </c>
      <c r="J20" s="8"/>
    </row>
    <row r="21" customFormat="false" ht="29.85" hidden="false" customHeight="false" outlineLevel="0" collapsed="false">
      <c r="A21" s="4" t="s">
        <v>1461</v>
      </c>
      <c r="B21" s="4" t="s">
        <v>1440</v>
      </c>
      <c r="C21" s="6" t="s">
        <v>1462</v>
      </c>
      <c r="D21" s="6" t="s">
        <v>1387</v>
      </c>
      <c r="E21" s="6" t="s">
        <v>1388</v>
      </c>
      <c r="F21" s="4" t="s">
        <v>1463</v>
      </c>
      <c r="G21" s="4" t="s">
        <v>1463</v>
      </c>
      <c r="H21" s="6" t="s">
        <v>1390</v>
      </c>
      <c r="I21" s="7" t="s">
        <v>1464</v>
      </c>
      <c r="J21" s="8"/>
    </row>
    <row r="22" customFormat="false" ht="29.85" hidden="false" customHeight="false" outlineLevel="0" collapsed="false">
      <c r="A22" s="4" t="s">
        <v>1465</v>
      </c>
      <c r="B22" s="4" t="s">
        <v>1440</v>
      </c>
      <c r="C22" s="6" t="s">
        <v>1466</v>
      </c>
      <c r="D22" s="6" t="s">
        <v>1387</v>
      </c>
      <c r="E22" s="6" t="s">
        <v>1388</v>
      </c>
      <c r="F22" s="4" t="s">
        <v>1467</v>
      </c>
      <c r="G22" s="4" t="s">
        <v>1467</v>
      </c>
      <c r="H22" s="6" t="s">
        <v>1390</v>
      </c>
      <c r="I22" s="7" t="s">
        <v>1468</v>
      </c>
      <c r="J22" s="8"/>
    </row>
    <row r="23" customFormat="false" ht="29.85" hidden="false" customHeight="false" outlineLevel="0" collapsed="false">
      <c r="A23" s="4" t="s">
        <v>1144</v>
      </c>
      <c r="B23" s="4" t="s">
        <v>1445</v>
      </c>
      <c r="C23" s="6" t="s">
        <v>1469</v>
      </c>
      <c r="D23" s="6" t="s">
        <v>1387</v>
      </c>
      <c r="E23" s="6" t="s">
        <v>1388</v>
      </c>
      <c r="F23" s="4" t="s">
        <v>1470</v>
      </c>
      <c r="G23" s="6"/>
      <c r="H23" s="6" t="s">
        <v>1390</v>
      </c>
      <c r="I23" s="7" t="s">
        <v>1471</v>
      </c>
      <c r="J23" s="8"/>
    </row>
    <row r="24" customFormat="false" ht="29.85" hidden="false" customHeight="false" outlineLevel="0" collapsed="false">
      <c r="A24" s="4" t="s">
        <v>1472</v>
      </c>
      <c r="B24" s="4" t="s">
        <v>1440</v>
      </c>
      <c r="C24" s="6" t="s">
        <v>1473</v>
      </c>
      <c r="D24" s="6" t="s">
        <v>1387</v>
      </c>
      <c r="E24" s="6" t="s">
        <v>1388</v>
      </c>
      <c r="F24" s="4" t="s">
        <v>1474</v>
      </c>
      <c r="G24" s="4" t="s">
        <v>1474</v>
      </c>
      <c r="H24" s="6" t="s">
        <v>1390</v>
      </c>
      <c r="I24" s="7" t="s">
        <v>1475</v>
      </c>
      <c r="J24" s="8"/>
    </row>
    <row r="25" customFormat="false" ht="15" hidden="false" customHeight="false" outlineLevel="0" collapsed="false">
      <c r="A25" s="4" t="s">
        <v>1472</v>
      </c>
      <c r="B25" s="4" t="s">
        <v>1445</v>
      </c>
      <c r="C25" s="6" t="s">
        <v>1476</v>
      </c>
      <c r="D25" s="6" t="s">
        <v>1387</v>
      </c>
      <c r="E25" s="6" t="s">
        <v>1447</v>
      </c>
      <c r="F25" s="4" t="s">
        <v>1474</v>
      </c>
      <c r="G25" s="4" t="s">
        <v>1477</v>
      </c>
      <c r="H25" s="6" t="s">
        <v>1390</v>
      </c>
      <c r="I25" s="7" t="s">
        <v>1478</v>
      </c>
      <c r="J25" s="8"/>
    </row>
    <row r="26" customFormat="false" ht="29.85" hidden="false" customHeight="false" outlineLevel="0" collapsed="false">
      <c r="A26" s="4" t="s">
        <v>1245</v>
      </c>
      <c r="B26" s="4" t="s">
        <v>1445</v>
      </c>
      <c r="C26" s="6" t="s">
        <v>1479</v>
      </c>
      <c r="D26" s="6" t="s">
        <v>1387</v>
      </c>
      <c r="E26" s="6" t="s">
        <v>1480</v>
      </c>
      <c r="F26" s="4" t="s">
        <v>1481</v>
      </c>
      <c r="G26" s="4" t="s">
        <v>1481</v>
      </c>
      <c r="H26" s="6" t="s">
        <v>1482</v>
      </c>
      <c r="I26" s="7" t="s">
        <v>1483</v>
      </c>
      <c r="J26" s="8"/>
    </row>
    <row r="27" customFormat="false" ht="29.85" hidden="false" customHeight="false" outlineLevel="0" collapsed="false">
      <c r="A27" s="4" t="s">
        <v>1484</v>
      </c>
      <c r="B27" s="4" t="s">
        <v>1440</v>
      </c>
      <c r="C27" s="6" t="s">
        <v>1485</v>
      </c>
      <c r="D27" s="6" t="s">
        <v>1387</v>
      </c>
      <c r="E27" s="6" t="s">
        <v>1388</v>
      </c>
      <c r="F27" s="4" t="s">
        <v>1486</v>
      </c>
      <c r="G27" s="4" t="s">
        <v>1486</v>
      </c>
      <c r="H27" s="6" t="s">
        <v>1390</v>
      </c>
      <c r="I27" s="7" t="s">
        <v>1487</v>
      </c>
      <c r="J27" s="8"/>
    </row>
    <row r="28" customFormat="false" ht="29.85" hidden="false" customHeight="false" outlineLevel="0" collapsed="false">
      <c r="A28" s="4" t="s">
        <v>1273</v>
      </c>
      <c r="B28" s="4" t="s">
        <v>1440</v>
      </c>
      <c r="C28" s="6" t="s">
        <v>1488</v>
      </c>
      <c r="D28" s="6" t="s">
        <v>1387</v>
      </c>
      <c r="E28" s="6" t="s">
        <v>1388</v>
      </c>
      <c r="F28" s="4" t="s">
        <v>1489</v>
      </c>
      <c r="G28" s="4" t="s">
        <v>1489</v>
      </c>
      <c r="H28" s="6" t="s">
        <v>1390</v>
      </c>
      <c r="I28" s="7" t="s">
        <v>1490</v>
      </c>
      <c r="J28" s="8"/>
    </row>
    <row r="29" customFormat="false" ht="29.85" hidden="false" customHeight="false" outlineLevel="0" collapsed="false">
      <c r="A29" s="4" t="s">
        <v>1491</v>
      </c>
      <c r="B29" s="4" t="s">
        <v>1492</v>
      </c>
      <c r="C29" s="6" t="s">
        <v>1493</v>
      </c>
      <c r="D29" s="6" t="s">
        <v>1387</v>
      </c>
      <c r="E29" s="6" t="s">
        <v>1388</v>
      </c>
      <c r="F29" s="4" t="s">
        <v>1494</v>
      </c>
      <c r="G29" s="6"/>
      <c r="H29" s="6" t="s">
        <v>1482</v>
      </c>
      <c r="I29" s="7" t="s">
        <v>1495</v>
      </c>
      <c r="J29" s="8"/>
    </row>
    <row r="30" customFormat="false" ht="15" hidden="false" customHeight="false" outlineLevel="0" collapsed="false">
      <c r="A30" s="4" t="s">
        <v>1496</v>
      </c>
      <c r="B30" s="4" t="s">
        <v>1497</v>
      </c>
      <c r="C30" s="6" t="s">
        <v>1498</v>
      </c>
      <c r="D30" s="6" t="s">
        <v>1499</v>
      </c>
      <c r="E30" s="6" t="s">
        <v>1388</v>
      </c>
      <c r="F30" s="6"/>
      <c r="G30" s="4" t="s">
        <v>1500</v>
      </c>
      <c r="H30" s="6" t="s">
        <v>1438</v>
      </c>
      <c r="I30" s="7" t="s">
        <v>1501</v>
      </c>
      <c r="J30" s="8"/>
    </row>
    <row r="31" customFormat="false" ht="15" hidden="false" customHeight="false" outlineLevel="0" collapsed="false">
      <c r="A31" s="4" t="s">
        <v>1502</v>
      </c>
      <c r="B31" s="4" t="s">
        <v>1497</v>
      </c>
      <c r="C31" s="6" t="s">
        <v>1503</v>
      </c>
      <c r="D31" s="6" t="s">
        <v>1499</v>
      </c>
      <c r="E31" s="6" t="s">
        <v>1388</v>
      </c>
      <c r="F31" s="6"/>
      <c r="G31" s="4" t="s">
        <v>1504</v>
      </c>
      <c r="H31" s="6" t="s">
        <v>1390</v>
      </c>
      <c r="I31" s="7" t="s">
        <v>1505</v>
      </c>
      <c r="J31" s="8"/>
    </row>
    <row r="32" customFormat="false" ht="29.85" hidden="false" customHeight="false" outlineLevel="0" collapsed="false">
      <c r="A32" s="4" t="s">
        <v>1506</v>
      </c>
      <c r="B32" s="4" t="s">
        <v>1507</v>
      </c>
      <c r="C32" s="6" t="s">
        <v>1508</v>
      </c>
      <c r="D32" s="6" t="s">
        <v>1387</v>
      </c>
      <c r="E32" s="6" t="s">
        <v>1388</v>
      </c>
      <c r="F32" s="6"/>
      <c r="G32" s="6"/>
      <c r="H32" s="6" t="s">
        <v>1390</v>
      </c>
      <c r="I32" s="7" t="s">
        <v>1509</v>
      </c>
      <c r="J32" s="8"/>
    </row>
  </sheetData>
  <autoFilter ref="A1:J32"/>
  <hyperlinks>
    <hyperlink ref="I2" r:id="rId1" display="https://treaty.mfa.gov.cn/web/detail1.jsp?objid=1531876485802"/>
    <hyperlink ref="I3" r:id="rId2" display="https://treaty.mfa.gov.cn/web/detail1.jsp?objid=1531876485908"/>
    <hyperlink ref="I4" r:id="rId3" display="https://treaty.mfa.gov.cn/web/detail1.jsp?objid=1531876485962"/>
    <hyperlink ref="I5" r:id="rId4" display="https://treaty.mfa.gov.cn/web/detail1.jsp?objid=1531876486014"/>
    <hyperlink ref="I6" r:id="rId5" display="https://treaty.mfa.gov.cn/web/detail1.jsp?objid=1531876485752"/>
    <hyperlink ref="I7" r:id="rId6" display="https://treaty.mfa.gov.cn/web/detail1.jsp?objid=1531876494044"/>
    <hyperlink ref="I8" r:id="rId7" display="https://treaty.mfa.gov.cn/web/detail1.jsp?objid=1531876494252"/>
    <hyperlink ref="I9" r:id="rId8" display="https://treaty.mfa.gov.cn/web/detail1.jsp?objid=1531876494151"/>
    <hyperlink ref="I10" r:id="rId9" display="https://treaty.mfa.gov.cn/web/detail1.jsp?objid=1531876493991"/>
    <hyperlink ref="I11" r:id="rId10" display="https://treaty.mfa.gov.cn/web/detail1.jsp?objid=1531876513690"/>
    <hyperlink ref="I12" r:id="rId11" display="https://treaty.mfa.gov.cn/web/detail1.jsp?objid=1531876513639"/>
    <hyperlink ref="I13" r:id="rId12" display="https://treaty.mfa.gov.cn/web/detail1.jsp?objid=1531876565956"/>
    <hyperlink ref="I14" r:id="rId13" display="https://treaty.mfa.gov.cn/web/detail1.jsp?objid=1531876854962"/>
    <hyperlink ref="I15" r:id="rId14" display="https://treaty.mfa.gov.cn/web/detail1.jsp?objid=1531876878468"/>
    <hyperlink ref="I16" r:id="rId15" display="https://treaty.mfa.gov.cn/web/detail1.jsp?objid=1531876897634"/>
    <hyperlink ref="I17" r:id="rId16" display="https://treaty.mfa.gov.cn/web/detail1.jsp?objid=1531876893427"/>
    <hyperlink ref="I18" r:id="rId17" display="https://treaty.mfa.gov.cn/web/detail1.jsp?objid=1531876893282"/>
    <hyperlink ref="I19" r:id="rId18" display="https://treaty.mfa.gov.cn/web/detail1.jsp?objid=1531876893181"/>
    <hyperlink ref="I20" r:id="rId19" display="https://treaty.mfa.gov.cn/web/detail1.jsp?objid=1531876903025"/>
    <hyperlink ref="I21" r:id="rId20" display="https://treaty.mfa.gov.cn/web/detail1.jsp?objid=1531876904849"/>
    <hyperlink ref="I22" r:id="rId21" display="https://treaty.mfa.gov.cn/web/detail1.jsp?objid=1531876918053"/>
    <hyperlink ref="I23" r:id="rId22" display="https://treaty.mfa.gov.cn/web/detail1.jsp?objid=1531876924395"/>
    <hyperlink ref="I24" r:id="rId23" display="https://treaty.mfa.gov.cn/web/detail1.jsp?objid=1531876925884"/>
    <hyperlink ref="I25" r:id="rId24" display="https://treaty.mfa.gov.cn/web/detail1.jsp?objid=1531876925835"/>
    <hyperlink ref="I26" r:id="rId25" display="https://treaty.mfa.gov.cn/web/detail1.jsp?objid=1531876944132"/>
    <hyperlink ref="I27" r:id="rId26" display="https://treaty.mfa.gov.cn/web/detail1.jsp?objid=1531876933822"/>
    <hyperlink ref="I28" r:id="rId27" display="https://treaty.mfa.gov.cn/web/detail1.jsp?objid=1531876945033"/>
    <hyperlink ref="I29" r:id="rId28" display="https://treaty.mfa.gov.cn/web/detail1.jsp?objid=1605167857701"/>
    <hyperlink ref="I30" r:id="rId29" display="https://treaty.mfa.gov.cn/web/detail1.jsp?objid=1531876077415"/>
    <hyperlink ref="I31" r:id="rId30" display="https://treaty.mfa.gov.cn/web/detail1.jsp?objid=1531876070902"/>
    <hyperlink ref="I32" r:id="rId31" display="https://treaty.mfa.gov.cn/web/detail1.jsp?objid=15318768886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24"/>
    <col collapsed="false" customWidth="true" hidden="false" outlineLevel="0" max="4" min="4" style="0" width="40"/>
    <col collapsed="false" customWidth="true" hidden="false" outlineLevel="0" max="5" min="5" style="0" width="56"/>
    <col collapsed="false" customWidth="true" hidden="false" outlineLevel="0" max="6" min="6" style="0" width="12"/>
    <col collapsed="false" customWidth="true" hidden="false" outlineLevel="0" max="7" min="7" style="0" width="40"/>
    <col collapsed="false" customWidth="true" hidden="false" outlineLevel="0" max="8" min="8" style="0" width="44"/>
    <col collapsed="false" customWidth="true" hidden="false" outlineLevel="0" max="9" min="9" style="0" width="26"/>
    <col collapsed="false" customWidth="true" hidden="false" outlineLevel="0" max="10" min="10" style="0" width="52"/>
    <col collapsed="false" customWidth="true" hidden="false" outlineLevel="0" max="11" min="11" style="0" width="20"/>
    <col collapsed="false" customWidth="true" hidden="false" outlineLevel="0" max="12" min="12" style="0" width="24"/>
  </cols>
  <sheetData>
    <row r="1" customFormat="false" ht="31.5" hidden="false" customHeight="true" outlineLevel="0" collapsed="false">
      <c r="A1" s="5" t="s">
        <v>1510</v>
      </c>
      <c r="B1" s="5" t="s">
        <v>810</v>
      </c>
      <c r="C1" s="5" t="s">
        <v>854</v>
      </c>
      <c r="D1" s="5" t="s">
        <v>855</v>
      </c>
      <c r="E1" s="5" t="s">
        <v>1511</v>
      </c>
      <c r="F1" s="5" t="s">
        <v>857</v>
      </c>
      <c r="G1" s="5" t="s">
        <v>858</v>
      </c>
      <c r="H1" s="5" t="s">
        <v>859</v>
      </c>
      <c r="I1" s="5" t="s">
        <v>860</v>
      </c>
      <c r="J1" s="5" t="s">
        <v>861</v>
      </c>
      <c r="K1" s="5" t="s">
        <v>862</v>
      </c>
      <c r="L1" s="5" t="s">
        <v>78</v>
      </c>
    </row>
    <row r="2" customFormat="false" ht="57.45" hidden="false" customHeight="false" outlineLevel="0" collapsed="false">
      <c r="A2" s="4" t="s">
        <v>1512</v>
      </c>
      <c r="B2" s="4" t="s">
        <v>1513</v>
      </c>
      <c r="C2" s="4" t="s">
        <v>1514</v>
      </c>
      <c r="D2" s="7" t="s">
        <v>1515</v>
      </c>
      <c r="E2" s="4" t="s">
        <v>1516</v>
      </c>
      <c r="F2" s="4" t="s">
        <v>867</v>
      </c>
      <c r="G2" s="4" t="s">
        <v>1517</v>
      </c>
      <c r="H2" s="4" t="s">
        <v>1518</v>
      </c>
      <c r="I2" s="4" t="s">
        <v>1519</v>
      </c>
      <c r="J2" s="4" t="s">
        <v>1520</v>
      </c>
      <c r="K2" s="4" t="s">
        <v>1521</v>
      </c>
      <c r="L2" s="8"/>
    </row>
    <row r="3" customFormat="false" ht="23.85" hidden="false" customHeight="false" outlineLevel="0" collapsed="false">
      <c r="A3" s="4" t="s">
        <v>1512</v>
      </c>
      <c r="B3" s="4" t="s">
        <v>1522</v>
      </c>
      <c r="C3" s="4" t="s">
        <v>1523</v>
      </c>
      <c r="D3" s="7" t="s">
        <v>1524</v>
      </c>
      <c r="E3" s="4" t="s">
        <v>1525</v>
      </c>
      <c r="F3" s="4" t="s">
        <v>867</v>
      </c>
      <c r="G3" s="4" t="s">
        <v>1526</v>
      </c>
      <c r="H3" s="4" t="s">
        <v>1527</v>
      </c>
      <c r="I3" s="4" t="s">
        <v>1528</v>
      </c>
      <c r="J3" s="4" t="s">
        <v>1529</v>
      </c>
      <c r="K3" s="4" t="s">
        <v>1530</v>
      </c>
      <c r="L3" s="8"/>
    </row>
    <row r="4" customFormat="false" ht="35.05" hidden="false" customHeight="false" outlineLevel="0" collapsed="false">
      <c r="A4" s="4" t="s">
        <v>1512</v>
      </c>
      <c r="B4" s="4" t="s">
        <v>1531</v>
      </c>
      <c r="C4" s="4" t="s">
        <v>1532</v>
      </c>
      <c r="D4" s="7" t="s">
        <v>1533</v>
      </c>
      <c r="E4" s="4" t="s">
        <v>1534</v>
      </c>
      <c r="F4" s="4" t="s">
        <v>1239</v>
      </c>
      <c r="G4" s="4" t="s">
        <v>1535</v>
      </c>
      <c r="H4" s="4" t="s">
        <v>1536</v>
      </c>
      <c r="I4" s="4" t="s">
        <v>1537</v>
      </c>
      <c r="J4" s="4" t="s">
        <v>1538</v>
      </c>
      <c r="K4" s="4" t="s">
        <v>919</v>
      </c>
      <c r="L4" s="8"/>
    </row>
    <row r="5" customFormat="false" ht="35.05" hidden="false" customHeight="false" outlineLevel="0" collapsed="false">
      <c r="A5" s="4" t="s">
        <v>1539</v>
      </c>
      <c r="B5" s="4" t="s">
        <v>1540</v>
      </c>
      <c r="C5" s="4" t="s">
        <v>1506</v>
      </c>
      <c r="D5" s="7" t="s">
        <v>1541</v>
      </c>
      <c r="E5" s="4" t="s">
        <v>1542</v>
      </c>
      <c r="F5" s="4" t="s">
        <v>1543</v>
      </c>
      <c r="G5" s="4" t="s">
        <v>1544</v>
      </c>
      <c r="H5" s="4" t="s">
        <v>1545</v>
      </c>
      <c r="I5" s="4" t="s">
        <v>1546</v>
      </c>
      <c r="J5" s="4" t="s">
        <v>1547</v>
      </c>
      <c r="K5" s="4" t="s">
        <v>1548</v>
      </c>
      <c r="L5" s="8"/>
    </row>
    <row r="6" customFormat="false" ht="35.05" hidden="false" customHeight="false" outlineLevel="0" collapsed="false">
      <c r="A6" s="4" t="s">
        <v>1549</v>
      </c>
      <c r="B6" s="4" t="s">
        <v>1550</v>
      </c>
      <c r="C6" s="4" t="s">
        <v>1506</v>
      </c>
      <c r="D6" s="7" t="s">
        <v>1551</v>
      </c>
      <c r="E6" s="4" t="s">
        <v>1552</v>
      </c>
      <c r="F6" s="4" t="s">
        <v>1553</v>
      </c>
      <c r="G6" s="4" t="s">
        <v>1554</v>
      </c>
      <c r="H6" s="4" t="s">
        <v>1555</v>
      </c>
      <c r="I6" s="4" t="s">
        <v>1556</v>
      </c>
      <c r="J6" s="4" t="s">
        <v>1557</v>
      </c>
      <c r="K6" s="4" t="s">
        <v>919</v>
      </c>
      <c r="L6" s="8"/>
    </row>
    <row r="7" customFormat="false" ht="35.05" hidden="false" customHeight="false" outlineLevel="0" collapsed="false">
      <c r="A7" s="4" t="s">
        <v>1558</v>
      </c>
      <c r="B7" s="4" t="s">
        <v>1559</v>
      </c>
      <c r="C7" s="4" t="s">
        <v>1506</v>
      </c>
      <c r="D7" s="7" t="s">
        <v>1560</v>
      </c>
      <c r="E7" s="4" t="s">
        <v>1561</v>
      </c>
      <c r="F7" s="4" t="s">
        <v>1239</v>
      </c>
      <c r="G7" s="4" t="s">
        <v>1562</v>
      </c>
      <c r="H7" s="4" t="s">
        <v>1563</v>
      </c>
      <c r="I7" s="4" t="s">
        <v>1564</v>
      </c>
      <c r="J7" s="4" t="s">
        <v>1565</v>
      </c>
      <c r="K7" s="4" t="s">
        <v>919</v>
      </c>
      <c r="L7" s="8"/>
    </row>
    <row r="8" customFormat="false" ht="46.25" hidden="false" customHeight="false" outlineLevel="0" collapsed="false">
      <c r="A8" s="4" t="s">
        <v>1558</v>
      </c>
      <c r="B8" s="4" t="s">
        <v>1566</v>
      </c>
      <c r="C8" s="4" t="s">
        <v>1506</v>
      </c>
      <c r="D8" s="7" t="s">
        <v>1567</v>
      </c>
      <c r="E8" s="4" t="s">
        <v>1568</v>
      </c>
      <c r="F8" s="4" t="s">
        <v>1239</v>
      </c>
      <c r="G8" s="4" t="s">
        <v>1569</v>
      </c>
      <c r="H8" s="4" t="s">
        <v>1570</v>
      </c>
      <c r="I8" s="4" t="s">
        <v>1571</v>
      </c>
      <c r="J8" s="4" t="s">
        <v>1572</v>
      </c>
      <c r="K8" s="4" t="s">
        <v>919</v>
      </c>
      <c r="L8" s="8"/>
    </row>
    <row r="9" customFormat="false" ht="57.45" hidden="false" customHeight="false" outlineLevel="0" collapsed="false">
      <c r="A9" s="4" t="s">
        <v>1573</v>
      </c>
      <c r="B9" s="4" t="s">
        <v>1574</v>
      </c>
      <c r="C9" s="4" t="s">
        <v>1575</v>
      </c>
      <c r="D9" s="7" t="s">
        <v>1576</v>
      </c>
      <c r="E9" s="4" t="s">
        <v>1577</v>
      </c>
      <c r="F9" s="4" t="s">
        <v>1267</v>
      </c>
      <c r="G9" s="4" t="s">
        <v>1578</v>
      </c>
      <c r="H9" s="4" t="s">
        <v>1579</v>
      </c>
      <c r="I9" s="4" t="s">
        <v>1580</v>
      </c>
      <c r="J9" s="4" t="s">
        <v>1581</v>
      </c>
      <c r="K9" s="4" t="s">
        <v>919</v>
      </c>
      <c r="L9" s="8"/>
    </row>
    <row r="10" customFormat="false" ht="57.45" hidden="false" customHeight="false" outlineLevel="0" collapsed="false">
      <c r="A10" s="4" t="s">
        <v>1558</v>
      </c>
      <c r="B10" s="4" t="s">
        <v>1582</v>
      </c>
      <c r="C10" s="4" t="s">
        <v>1583</v>
      </c>
      <c r="D10" s="7" t="s">
        <v>1584</v>
      </c>
      <c r="E10" s="4" t="s">
        <v>1585</v>
      </c>
      <c r="F10" s="4" t="s">
        <v>943</v>
      </c>
      <c r="G10" s="4" t="s">
        <v>1586</v>
      </c>
      <c r="H10" s="4" t="s">
        <v>1587</v>
      </c>
      <c r="I10" s="4" t="s">
        <v>1588</v>
      </c>
      <c r="J10" s="4" t="s">
        <v>1589</v>
      </c>
      <c r="K10" s="4" t="s">
        <v>1590</v>
      </c>
      <c r="L10" s="8"/>
    </row>
    <row r="11" customFormat="false" ht="46.25" hidden="false" customHeight="false" outlineLevel="0" collapsed="false">
      <c r="A11" s="4" t="s">
        <v>1591</v>
      </c>
      <c r="B11" s="4" t="s">
        <v>1592</v>
      </c>
      <c r="C11" s="4" t="s">
        <v>1514</v>
      </c>
      <c r="D11" s="7" t="s">
        <v>1593</v>
      </c>
      <c r="E11" s="4" t="s">
        <v>1594</v>
      </c>
      <c r="F11" s="4" t="s">
        <v>943</v>
      </c>
      <c r="G11" s="4" t="s">
        <v>1595</v>
      </c>
      <c r="H11" s="4" t="s">
        <v>1596</v>
      </c>
      <c r="I11" s="4" t="s">
        <v>1597</v>
      </c>
      <c r="J11" s="4" t="s">
        <v>1598</v>
      </c>
      <c r="K11" s="4" t="s">
        <v>1599</v>
      </c>
      <c r="L11" s="8"/>
    </row>
    <row r="12" customFormat="false" ht="35.05" hidden="false" customHeight="false" outlineLevel="0" collapsed="false">
      <c r="A12" s="4" t="s">
        <v>1591</v>
      </c>
      <c r="B12" s="4" t="s">
        <v>1600</v>
      </c>
      <c r="C12" s="4" t="s">
        <v>1601</v>
      </c>
      <c r="D12" s="7" t="s">
        <v>1602</v>
      </c>
      <c r="E12" s="4" t="s">
        <v>1603</v>
      </c>
      <c r="F12" s="4" t="s">
        <v>867</v>
      </c>
      <c r="G12" s="4" t="s">
        <v>1604</v>
      </c>
      <c r="H12" s="4" t="s">
        <v>945</v>
      </c>
      <c r="I12" s="4" t="s">
        <v>1605</v>
      </c>
      <c r="J12" s="4" t="s">
        <v>1606</v>
      </c>
      <c r="K12" s="4" t="s">
        <v>1607</v>
      </c>
      <c r="L12" s="8"/>
    </row>
    <row r="13" customFormat="false" ht="46.25" hidden="false" customHeight="false" outlineLevel="0" collapsed="false">
      <c r="A13" s="4" t="s">
        <v>1591</v>
      </c>
      <c r="B13" s="4" t="s">
        <v>1608</v>
      </c>
      <c r="C13" s="4" t="s">
        <v>1609</v>
      </c>
      <c r="D13" s="6"/>
      <c r="E13" s="4" t="s">
        <v>1610</v>
      </c>
      <c r="F13" s="6"/>
      <c r="G13" s="4" t="s">
        <v>1611</v>
      </c>
      <c r="H13" s="4" t="s">
        <v>1612</v>
      </c>
      <c r="I13" s="4" t="s">
        <v>1233</v>
      </c>
      <c r="J13" s="4" t="s">
        <v>1234</v>
      </c>
      <c r="K13" s="4" t="s">
        <v>1233</v>
      </c>
      <c r="L13" s="8"/>
    </row>
    <row r="14" customFormat="false" ht="23.85" hidden="false" customHeight="false" outlineLevel="0" collapsed="false">
      <c r="A14" s="4" t="s">
        <v>1591</v>
      </c>
      <c r="B14" s="4" t="s">
        <v>1613</v>
      </c>
      <c r="C14" s="4" t="s">
        <v>1514</v>
      </c>
      <c r="D14" s="7" t="s">
        <v>1614</v>
      </c>
      <c r="E14" s="4" t="s">
        <v>1615</v>
      </c>
      <c r="F14" s="4" t="s">
        <v>943</v>
      </c>
      <c r="G14" s="4" t="s">
        <v>1616</v>
      </c>
      <c r="H14" s="4" t="s">
        <v>1617</v>
      </c>
      <c r="I14" s="4" t="s">
        <v>1618</v>
      </c>
      <c r="J14" s="4" t="s">
        <v>1234</v>
      </c>
      <c r="K14" s="4" t="s">
        <v>1619</v>
      </c>
      <c r="L14" s="8"/>
    </row>
  </sheetData>
  <autoFilter ref="A1:L14"/>
  <hyperlinks>
    <hyperlink ref="D2" r:id="rId1" display="https://treaty.mfa.gov.cn/web/index.jsp"/>
    <hyperlink ref="D3" r:id="rId2" display="https://m.bjnews.com.cn/detail/1699965728129667.html"/>
    <hyperlink ref="D4" r:id="rId3" display="https://2012-2025.eca.state.gov/cultural-heritage-center/cultural-property/current-agreements-and-import-restrictions.html"/>
    <hyperlink ref="D5" r:id="rId4" display="https://whc.unesco.org/en/statesparties/CN/laws/"/>
    <hyperlink ref="D6" r:id="rId5" display="https://whc.unesco.org/en/sessions/"/>
    <hyperlink ref="D7" r:id="rId6" display="https://core.unesco.org/en/project/580RAF4001"/>
    <hyperlink ref="D8" r:id="rId7" display="https://whc.unesco.org/en/partners/503"/>
    <hyperlink ref="D9" r:id="rId8" display="https://whc.unesco.org/en/activities/676/"/>
    <hyperlink ref="D10" r:id="rId9" display="http://www.news.cn/world/20251128/1965e348e6f14010aca3d1de668795ef/c.html"/>
    <hyperlink ref="D11" r:id="rId10" display="https://www.mfa.gov.cn/zyxw/202310/t20231018_11163412.shtml"/>
    <hyperlink ref="D12" r:id="rId11" display="https://news.gmw.cn/2025-01/02/content_37772689.htm"/>
    <hyperlink ref="D14" r:id="rId12" display="https://uz.china-embassy.gov.cn/zwgxzxdt/202506/t20250618_11652102.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28"/>
    <col collapsed="false" customWidth="true" hidden="false" outlineLevel="0" max="4" min="4" style="0" width="60"/>
    <col collapsed="false" customWidth="true" hidden="false" outlineLevel="0" max="5" min="5" style="0" width="64"/>
    <col collapsed="false" customWidth="true" hidden="false" outlineLevel="0" max="6" min="6" style="0" width="44"/>
    <col collapsed="false" customWidth="true" hidden="false" outlineLevel="0" max="7" min="7" style="0" width="26"/>
  </cols>
  <sheetData>
    <row r="1" customFormat="false" ht="31.5" hidden="false" customHeight="true" outlineLevel="0" collapsed="false">
      <c r="A1" s="5" t="s">
        <v>976</v>
      </c>
      <c r="B1" s="5" t="s">
        <v>752</v>
      </c>
      <c r="C1" s="5" t="s">
        <v>1620</v>
      </c>
      <c r="D1" s="5" t="s">
        <v>1621</v>
      </c>
      <c r="E1" s="5" t="s">
        <v>1622</v>
      </c>
      <c r="F1" s="5" t="s">
        <v>810</v>
      </c>
      <c r="G1" s="5" t="s">
        <v>79</v>
      </c>
    </row>
    <row r="2" customFormat="false" ht="23.85" hidden="false" customHeight="false" outlineLevel="0" collapsed="false">
      <c r="A2" s="4" t="s">
        <v>1623</v>
      </c>
      <c r="B2" s="4" t="s">
        <v>1624</v>
      </c>
      <c r="C2" s="4" t="s">
        <v>1625</v>
      </c>
      <c r="D2" s="4" t="s">
        <v>1626</v>
      </c>
      <c r="E2" s="6"/>
      <c r="F2" s="7" t="s">
        <v>1533</v>
      </c>
      <c r="G2" s="8" t="s">
        <v>1627</v>
      </c>
    </row>
    <row r="3" customFormat="false" ht="35.05" hidden="false" customHeight="false" outlineLevel="0" collapsed="false">
      <c r="A3" s="4" t="s">
        <v>1628</v>
      </c>
      <c r="B3" s="4" t="s">
        <v>1629</v>
      </c>
      <c r="C3" s="4" t="s">
        <v>1630</v>
      </c>
      <c r="D3" s="4" t="s">
        <v>1631</v>
      </c>
      <c r="E3" s="6" t="s">
        <v>1632</v>
      </c>
      <c r="F3" s="7" t="s">
        <v>1633</v>
      </c>
      <c r="G3" s="8" t="s">
        <v>1634</v>
      </c>
    </row>
    <row r="4" customFormat="false" ht="29.85" hidden="false" customHeight="false" outlineLevel="0" collapsed="false">
      <c r="A4" s="4" t="s">
        <v>1628</v>
      </c>
      <c r="B4" s="4" t="s">
        <v>1629</v>
      </c>
      <c r="C4" s="4" t="s">
        <v>1635</v>
      </c>
      <c r="D4" s="4" t="s">
        <v>1636</v>
      </c>
      <c r="E4" s="6" t="s">
        <v>1637</v>
      </c>
      <c r="F4" s="7" t="s">
        <v>1633</v>
      </c>
      <c r="G4" s="8" t="s">
        <v>1634</v>
      </c>
    </row>
    <row r="5" customFormat="false" ht="58.2" hidden="false" customHeight="false" outlineLevel="0" collapsed="false">
      <c r="A5" s="4" t="s">
        <v>1638</v>
      </c>
      <c r="B5" s="4" t="s">
        <v>1639</v>
      </c>
      <c r="C5" s="4" t="s">
        <v>1640</v>
      </c>
      <c r="D5" s="4" t="s">
        <v>1641</v>
      </c>
      <c r="E5" s="6" t="s">
        <v>1642</v>
      </c>
      <c r="F5" s="7" t="s">
        <v>1593</v>
      </c>
      <c r="G5" s="8" t="s">
        <v>1634</v>
      </c>
    </row>
    <row r="6" customFormat="false" ht="15" hidden="false" customHeight="false" outlineLevel="0" collapsed="false">
      <c r="A6" s="4" t="s">
        <v>1638</v>
      </c>
      <c r="B6" s="4" t="s">
        <v>1639</v>
      </c>
      <c r="C6" s="4" t="s">
        <v>709</v>
      </c>
      <c r="D6" s="4" t="s">
        <v>1643</v>
      </c>
      <c r="E6" s="6" t="s">
        <v>1644</v>
      </c>
      <c r="F6" s="7" t="s">
        <v>1593</v>
      </c>
      <c r="G6" s="8" t="s">
        <v>1634</v>
      </c>
    </row>
    <row r="7" customFormat="false" ht="23.85" hidden="false" customHeight="false" outlineLevel="0" collapsed="false">
      <c r="A7" s="4" t="s">
        <v>1645</v>
      </c>
      <c r="B7" s="4" t="s">
        <v>1646</v>
      </c>
      <c r="C7" s="4" t="s">
        <v>709</v>
      </c>
      <c r="D7" s="4" t="s">
        <v>1647</v>
      </c>
      <c r="E7" s="6" t="s">
        <v>1648</v>
      </c>
      <c r="F7" s="7" t="s">
        <v>1524</v>
      </c>
      <c r="G7" s="8" t="s">
        <v>1627</v>
      </c>
    </row>
    <row r="8" customFormat="false" ht="35.05" hidden="false" customHeight="false" outlineLevel="0" collapsed="false">
      <c r="A8" s="4" t="s">
        <v>1649</v>
      </c>
      <c r="B8" s="4" t="s">
        <v>1650</v>
      </c>
      <c r="C8" s="4" t="s">
        <v>1651</v>
      </c>
      <c r="D8" s="4" t="s">
        <v>1652</v>
      </c>
      <c r="E8" s="6" t="s">
        <v>1653</v>
      </c>
      <c r="F8" s="7" t="s">
        <v>1654</v>
      </c>
      <c r="G8" s="8" t="s">
        <v>1627</v>
      </c>
    </row>
    <row r="9" customFormat="false" ht="23.85" hidden="false" customHeight="false" outlineLevel="0" collapsed="false">
      <c r="A9" s="4" t="s">
        <v>1655</v>
      </c>
      <c r="B9" s="4" t="s">
        <v>1656</v>
      </c>
      <c r="C9" s="4" t="s">
        <v>1657</v>
      </c>
      <c r="D9" s="4" t="s">
        <v>1658</v>
      </c>
      <c r="E9" s="6"/>
      <c r="F9" s="7" t="s">
        <v>1560</v>
      </c>
      <c r="G9" s="8" t="s">
        <v>1627</v>
      </c>
    </row>
    <row r="10" customFormat="false" ht="35.05" hidden="false" customHeight="false" outlineLevel="0" collapsed="false">
      <c r="A10" s="4" t="s">
        <v>1659</v>
      </c>
      <c r="B10" s="4" t="s">
        <v>1650</v>
      </c>
      <c r="C10" s="4" t="s">
        <v>1660</v>
      </c>
      <c r="D10" s="4" t="s">
        <v>1661</v>
      </c>
      <c r="E10" s="6" t="s">
        <v>1662</v>
      </c>
      <c r="F10" s="7" t="s">
        <v>1584</v>
      </c>
      <c r="G10" s="8" t="s">
        <v>1634</v>
      </c>
    </row>
    <row r="11" customFormat="false" ht="44" hidden="false" customHeight="false" outlineLevel="0" collapsed="false">
      <c r="A11" s="4" t="s">
        <v>1659</v>
      </c>
      <c r="B11" s="4" t="s">
        <v>1663</v>
      </c>
      <c r="C11" s="4" t="s">
        <v>1664</v>
      </c>
      <c r="D11" s="4" t="s">
        <v>1665</v>
      </c>
      <c r="E11" s="6" t="s">
        <v>1666</v>
      </c>
      <c r="F11" s="7" t="s">
        <v>1584</v>
      </c>
      <c r="G11" s="8" t="s">
        <v>1634</v>
      </c>
    </row>
    <row r="12" customFormat="false" ht="29.85" hidden="false" customHeight="false" outlineLevel="0" collapsed="false">
      <c r="A12" s="4" t="s">
        <v>1667</v>
      </c>
      <c r="B12" s="4" t="s">
        <v>1646</v>
      </c>
      <c r="C12" s="4" t="s">
        <v>1625</v>
      </c>
      <c r="D12" s="4" t="s">
        <v>1668</v>
      </c>
      <c r="E12" s="6" t="s">
        <v>1669</v>
      </c>
      <c r="F12" s="7" t="s">
        <v>1670</v>
      </c>
      <c r="G12" s="8" t="s">
        <v>1627</v>
      </c>
    </row>
  </sheetData>
  <autoFilter ref="A1:G12"/>
  <hyperlinks>
    <hyperlink ref="F2" r:id="rId1" display="https://2012-2025.eca.state.gov/cultural-heritage-center/cultural-property/current-agreements-and-import-restrictions.html"/>
    <hyperlink ref="F3" r:id="rId2" display="http://www.news.cn/culture/20230320/1b237d8ebd314e15be1fb95123e8be6e/c.html"/>
    <hyperlink ref="F4" r:id="rId3" display="http://www.news.cn/culture/20230320/1b237d8ebd314e15be1fb95123e8be6e/c.html"/>
    <hyperlink ref="F5" r:id="rId4" display="https://www.mfa.gov.cn/zyxw/202310/t20231018_11163412.shtml"/>
    <hyperlink ref="F6" r:id="rId5" display="https://www.mfa.gov.cn/zyxw/202310/t20231018_11163412.shtml"/>
    <hyperlink ref="F7" r:id="rId6" display="https://m.bjnews.com.cn/detail/1699965728129667.html"/>
    <hyperlink ref="F8" r:id="rId7" display="https://cn.chinadaily.com.cn/a/202406/20/WS66738c64a3107cd55d267adc.html"/>
    <hyperlink ref="F9" r:id="rId8" display="https://core.unesco.org/en/project/580RAF4001"/>
    <hyperlink ref="F10" r:id="rId9" display="http://www.news.cn/world/20251128/1965e348e6f14010aca3d1de668795ef/c.html"/>
    <hyperlink ref="F11" r:id="rId10" display="http://www.news.cn/world/20251128/1965e348e6f14010aca3d1de668795ef/c.html"/>
    <hyperlink ref="F12" r:id="rId11" display="https://m.gmw.cn/2026-09/19/content_1304565539.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2026-10-06T01:25:05Z</dcterms:created>
  <dc:creator>openpyxl</dc:creator>
  <dc:description/>
  <dc:language>en-US</dc:language>
  <cp:lastModifiedBy/>
  <dcterms:modified xsi:type="dcterms:W3CDTF">2026-10-06T01:25:06Z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